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amp; Sources" sheetId="1" state="visible" r:id="rId3"/>
    <sheet name="Deal Timeline" sheetId="2" state="visible" r:id="rId4"/>
    <sheet name="Financial Summary" sheetId="3" state="visible" r:id="rId5"/>
    <sheet name="Valuation Analysi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<sst xmlns="http://schemas.openxmlformats.org/spreadsheetml/2006/main" count="148" uniqueCount="131">
  <si>
    <t xml:space="preserve">Insignia Financial (ASX: IFL) — M&amp;A Case Study</t>
  </si>
  <si>
    <t xml:space="preserve">Prepared by Tyler Krenkels — self-directed case study, not affiliated with Insignia Financial, CC Capital, Bain Capital or Brookfield</t>
  </si>
  <si>
    <t xml:space="preserve">Purpose</t>
  </si>
  <si>
    <t xml:space="preserve">Reconstruction of the 2025-26 competitive takeover process for Insignia Financial Ltd, Australia's largest listed diversified wealth manager, culminating in its acquisition by CC Capital Partners and delisting from the ASX in April 2026. Built to demonstrate M&amp;A / Financial Sponsors analysis: bid timeline, valuation across competing offers, and premium analysis.</t>
  </si>
  <si>
    <t xml:space="preserve">Sheet Guide</t>
  </si>
  <si>
    <t xml:space="preserve">Deal Timeline</t>
  </si>
  <si>
    <t xml:space="preserve">Chronological reconstruction of the bidding process from initial approach to delisting</t>
  </si>
  <si>
    <t xml:space="preserve">Financial Summary</t>
  </si>
  <si>
    <t xml:space="preserve">FY21-FY25 + TTM income statement summary and FUMA history</t>
  </si>
  <si>
    <t xml:space="preserve">Valuation Analysis</t>
  </si>
  <si>
    <t xml:space="preserve">Equity value, enterprise value and EV/EBITDA multiple implied by each competing bid, plus premium to undisturbed price</t>
  </si>
  <si>
    <t xml:space="preserve">Key Sources</t>
  </si>
  <si>
    <t xml:space="preserve">•  Insignia Financial FY25 Results Presentation, 21 August 2025 (insigniafinancial.com.au)</t>
  </si>
  <si>
    <t xml:space="preserve">•  Insignia Financial FY25 Full Year Result announcement, ASX, 21 August 2025</t>
  </si>
  <si>
    <t xml:space="preserve">•  Insignia Financial 2Q25 and 4Q24 Quarterly Business Updates, ASX announcements</t>
  </si>
  <si>
    <t xml:space="preserve">•  StockAnalysis.com — Insignia Financial (ASX:IFL) Income Statement, FY21-FY25 and TTM to Dec-25</t>
  </si>
  <si>
    <t xml:space="preserve">•  Business News Australia, 'Brookfield joins the fray in three-way $3 billion takeover battle for Insignia Financial', 5 Feb 2025</t>
  </si>
  <si>
    <t xml:space="preserve">•  Private Banker International / Yahoo Finance, 'Bain Capital exits Insignia Financial takeover pursuit', 2025</t>
  </si>
  <si>
    <t xml:space="preserve">•  IFA, 'Insignia agrees to $3.3bn CC Capital takeover bid', 30 Oct 2025</t>
  </si>
  <si>
    <t xml:space="preserve">•  TipRanks/Capital Brief/The Bull — Federal Court approval, shareholder vote and scheme completion coverage, April 2026</t>
  </si>
  <si>
    <t xml:space="preserve">Note: figures are compiled from public company disclosures and press coverage for the purpose of this case study. Net debt and forward EBITDA used in the MAC/leverage-adjusted valuation are estimated from disclosed leverage ratios (see Valuation Analysis tab) as exact bid-date figures were not separately disclosed.</t>
  </si>
  <si>
    <t xml:space="preserve">Deal Timeline — Bidding Process for Insignia Financial</t>
  </si>
  <si>
    <t xml:space="preserve">Date</t>
  </si>
  <si>
    <t xml:space="preserve">Event</t>
  </si>
  <si>
    <t xml:space="preserve">Bidder(s)</t>
  </si>
  <si>
    <t xml:space="preserve">Indicative Price / Share</t>
  </si>
  <si>
    <t xml:space="preserve">Status</t>
  </si>
  <si>
    <t xml:space="preserve">11-Dec-2024</t>
  </si>
  <si>
    <t xml:space="preserve">Undisturbed closing share price prior to any approach becoming known</t>
  </si>
  <si>
    <t xml:space="preserve">-</t>
  </si>
  <si>
    <t xml:space="preserve">Reference price</t>
  </si>
  <si>
    <t xml:space="preserve">Dec 2024</t>
  </si>
  <si>
    <t xml:space="preserve">Bain Capital makes initial non-binding indicative proposal</t>
  </si>
  <si>
    <t xml:space="preserve">Bain Capital</t>
  </si>
  <si>
    <t xml:space="preserve">Non-binding</t>
  </si>
  <si>
    <t xml:space="preserve">17-Jan-2025</t>
  </si>
  <si>
    <t xml:space="preserve">CC Capital submits revised indicative proposal matching Bain's price</t>
  </si>
  <si>
    <t xml:space="preserve">CC Capital</t>
  </si>
  <si>
    <t xml:space="preserve">22-Jan-2025</t>
  </si>
  <si>
    <t xml:space="preserve">Bain Capital lodges second revised non-binding indicative proposal</t>
  </si>
  <si>
    <t xml:space="preserve">5-Feb-2025</t>
  </si>
  <si>
    <t xml:space="preserve">Brookfield Capital Partners (UK) enters process with matching offer; granted limited due diligence access</t>
  </si>
  <si>
    <t xml:space="preserve">Brookfield</t>
  </si>
  <si>
    <t xml:space="preserve">Non-binding, 3-way contest</t>
  </si>
  <si>
    <t xml:space="preserve">Mar-2025</t>
  </si>
  <si>
    <t xml:space="preserve">Bain Capital and CC Capital both sweeten bids; exclusivity deeds signed with both</t>
  </si>
  <si>
    <t xml:space="preserve">Bain Capital / CC Capital</t>
  </si>
  <si>
    <t xml:space="preserve">Non-binding, exclusive due diligence</t>
  </si>
  <si>
    <t xml:space="preserve">Mar-May 2025</t>
  </si>
  <si>
    <t xml:space="preserve">Extended exclusivity to allow debt funding arrangement and completion of due diligence</t>
  </si>
  <si>
    <t xml:space="preserve">Due diligence</t>
  </si>
  <si>
    <t xml:space="preserve">May 2025</t>
  </si>
  <si>
    <t xml:space="preserve">Bain Capital withdraws, citing macro uncertainty in global markets; unable to proceed to binding proposal</t>
  </si>
  <si>
    <t xml:space="preserve">Bain Capital (exits)</t>
  </si>
  <si>
    <t xml:space="preserve">Withdrawn</t>
  </si>
  <si>
    <t xml:space="preserve">Brookfield no longer in contention after not matching revised terms</t>
  </si>
  <si>
    <t xml:space="preserve">Brookfield (exits)</t>
  </si>
  <si>
    <t xml:space="preserve">22-Jul-2025</t>
  </si>
  <si>
    <t xml:space="preserve">Insignia enters binding Scheme Implementation Deed with CC Capital (Daintree BidCo)</t>
  </si>
  <si>
    <t xml:space="preserve">Binding — board unanimously recommends</t>
  </si>
  <si>
    <t xml:space="preserve">21-Aug-2025</t>
  </si>
  <si>
    <t xml:space="preserve">FY25 results confirm Scheme terms; ~$3.3bn implied equity value, 57% premium to undisturbed price disclosed</t>
  </si>
  <si>
    <t xml:space="preserve">Binding</t>
  </si>
  <si>
    <t xml:space="preserve">30-Oct-2025</t>
  </si>
  <si>
    <t xml:space="preserve">Deal terms reconfirmed in press coverage ahead of scheme booklet dispatch</t>
  </si>
  <si>
    <t xml:space="preserve">27-Feb-2026</t>
  </si>
  <si>
    <t xml:space="preserve">Independent expert deems $4.80/share offer fair and reasonable; board unanimously recommends vote in favour</t>
  </si>
  <si>
    <t xml:space="preserve">Independent expert opinion issued</t>
  </si>
  <si>
    <t xml:space="preserve">Apr-2026</t>
  </si>
  <si>
    <t xml:space="preserve">Insignia shareholders vote; ~90-99% of votes cast in favour depending on resolution</t>
  </si>
  <si>
    <t xml:space="preserve">Shareholder approved</t>
  </si>
  <si>
    <t xml:space="preserve">16-Apr-2026</t>
  </si>
  <si>
    <t xml:space="preserve">Federal Court approves the Scheme of Arrangement</t>
  </si>
  <si>
    <t xml:space="preserve">Court approved</t>
  </si>
  <si>
    <t xml:space="preserve">17-Apr-2026</t>
  </si>
  <si>
    <t xml:space="preserve">Trading in Insignia shares suspended on ASX</t>
  </si>
  <si>
    <t xml:space="preserve">Suspended</t>
  </si>
  <si>
    <t xml:space="preserve">21-Apr-2026</t>
  </si>
  <si>
    <t xml:space="preserve">Scheme record date</t>
  </si>
  <si>
    <t xml:space="preserve">Record date</t>
  </si>
  <si>
    <t xml:space="preserve">28-Apr-2026</t>
  </si>
  <si>
    <t xml:space="preserve">Cash consideration of $4.80/share paid to shareholders; scheme completes</t>
  </si>
  <si>
    <t xml:space="preserve">Completed</t>
  </si>
  <si>
    <t xml:space="preserve">29-Apr-2026</t>
  </si>
  <si>
    <t xml:space="preserve">Insignia Financial removed from official ASX list</t>
  </si>
  <si>
    <t xml:space="preserve">Delisted</t>
  </si>
  <si>
    <t xml:space="preserve">Financial Summary — FY21 to TTM (Dec-25)</t>
  </si>
  <si>
    <t xml:space="preserve">($m AUD unless noted)</t>
  </si>
  <si>
    <t xml:space="preserve">FY21</t>
  </si>
  <si>
    <t xml:space="preserve">FY22</t>
  </si>
  <si>
    <t xml:space="preserve">FY23</t>
  </si>
  <si>
    <t xml:space="preserve">FY24</t>
  </si>
  <si>
    <t xml:space="preserve">FY25</t>
  </si>
  <si>
    <t xml:space="preserve">TTM (Dec-25)</t>
  </si>
  <si>
    <t xml:space="preserve">Revenue</t>
  </si>
  <si>
    <t xml:space="preserve">EBITDA</t>
  </si>
  <si>
    <t xml:space="preserve">Statutory Net Income (NPAT)</t>
  </si>
  <si>
    <t xml:space="preserve">Shares Outstanding (m, basic)</t>
  </si>
  <si>
    <t xml:space="preserve">EBITDA Margin</t>
  </si>
  <si>
    <t xml:space="preserve">NPAT Margin</t>
  </si>
  <si>
    <t xml:space="preserve">Funds Under Management &amp; Administration (FUMA)</t>
  </si>
  <si>
    <t xml:space="preserve">($bn AUD)</t>
  </si>
  <si>
    <t xml:space="preserve">Sep-24</t>
  </si>
  <si>
    <t xml:space="preserve">Dec-24</t>
  </si>
  <si>
    <t xml:space="preserve">Jun-25 (avg FY25)</t>
  </si>
  <si>
    <t xml:space="preserve">Sep-25</t>
  </si>
  <si>
    <t xml:space="preserve">Latest (FY26 to date)</t>
  </si>
  <si>
    <t xml:space="preserve">FUMA</t>
  </si>
  <si>
    <t xml:space="preserve">Sources: StockAnalysis.com income statement data (S&amp;P Global Market Intelligence); Insignia Financial FY25 Results Presentation and FY25 Full Year Result ASX release (21 Aug 2025); Money Management, 'Insignia returns to profit in FY25'; Insignia 2Q25 and quarterly business updates. FY24 EBITDA was depressed by ~$237m of unusual/restructuring items (advice remediation, transformation costs) later substantially resolved in FY25, which explains the FY24 EBITDA trough.</t>
  </si>
  <si>
    <t xml:space="preserve">Valuation Analysis — Implied Multiples Across Competing Bids</t>
  </si>
  <si>
    <t xml:space="preserve">Key Assumptions (editable inputs — blue cells)</t>
  </si>
  <si>
    <t xml:space="preserve">Diluted shares outstanding (m)</t>
  </si>
  <si>
    <t xml:space="preserve">FY25 EBITDA ($m) — link to Financial Summary</t>
  </si>
  <si>
    <t xml:space="preserve">TTM EBITDA (Dec-25, $m) — link to Financial Summary</t>
  </si>
  <si>
    <t xml:space="preserve">Estimated net debt / EBITDA (x) — per FY25 disclosure (senior leverage)</t>
  </si>
  <si>
    <t xml:space="preserve">Estimated net debt ($m) = Net debt/EBITDA x FY25 EBITDA</t>
  </si>
  <si>
    <t xml:space="preserve">Undisturbed share price, 11-Dec-2024 ($)</t>
  </si>
  <si>
    <t xml:space="preserve">Bidder / Stage</t>
  </si>
  <si>
    <t xml:space="preserve">Price / Share ($)</t>
  </si>
  <si>
    <t xml:space="preserve">Equity Value ($m)</t>
  </si>
  <si>
    <t xml:space="preserve">Net Debt ($m)</t>
  </si>
  <si>
    <t xml:space="preserve">Enterprise Value ($m)</t>
  </si>
  <si>
    <t xml:space="preserve">EV / FY25 EBITDA</t>
  </si>
  <si>
    <t xml:space="preserve">EV / TTM EBITDA</t>
  </si>
  <si>
    <t xml:space="preserve">Premium to Undisturbed</t>
  </si>
  <si>
    <t xml:space="preserve">Undisturbed (11-Dec-24)</t>
  </si>
  <si>
    <t xml:space="preserve">Bain / CC Capital — initial matched proposals (Jan 2025)</t>
  </si>
  <si>
    <t xml:space="preserve">Brookfield entry bid (Feb 2025)</t>
  </si>
  <si>
    <t xml:space="preserve">Bain / CC Capital — sweetened bids (Mar 2025)</t>
  </si>
  <si>
    <t xml:space="preserve">Final Scheme price — CC Capital (Jul 2025, completed Apr 2026)</t>
  </si>
  <si>
    <t xml:space="preserve">Reading the table: the price walk shows the process narrowing from a three-way contest around $4.60-5.00/share in early-to-mid 2025 down to a final $4.80 once Bain and Brookfield exited. CC Capital's final price sat below the ~$5.00 peak reached during the competitive phase — consistent with Insignia's own disclosure that the deal represented a 57% premium to the undisturbed price, materially below the ~63% premium the $5.00 peak bid would have implied. Net debt is estimated from the FY25-disclosed senior leverage ratio (net debt/EBITDA ~1.1x) as bid-date balance sheet figures were not separately disclosed at each stage; treat EV and EV/EBITDA multiples as indicative, not precise deal terms.</t>
  </si>
</sst>
</file>

<file path=xl/styles.xml><?xml version="1.0" encoding="utf-8"?>
<styleSheet xmlns="http://schemas.openxmlformats.org/spreadsheetml/2006/main">
  <numFmts count="6">
    <numFmt numFmtId="164" formatCode="General"/>
    <numFmt numFmtId="165" formatCode="\$#,##0.00;&quot;($&quot;#,##0.00\);\-"/>
    <numFmt numFmtId="166" formatCode="\$#,##0;&quot;($&quot;#,##0\);\-"/>
    <numFmt numFmtId="167" formatCode="#,##0"/>
    <numFmt numFmtId="168" formatCode="0.0%;\(0.0%\);\-"/>
    <numFmt numFmtId="169" formatCode="0.0\x"/>
  </numFmts>
  <fonts count="1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8"/>
      <color rgb="FF808080"/>
      <name val="Arial"/>
      <family val="0"/>
      <charset val="1"/>
    </font>
    <font>
      <b val="true"/>
      <sz val="10"/>
      <name val="Arial"/>
      <family val="0"/>
      <charset val="1"/>
    </font>
    <font>
      <sz val="10"/>
      <name val="Arial"/>
      <family val="0"/>
      <charset val="1"/>
    </font>
    <font>
      <b val="true"/>
      <sz val="10"/>
      <color rgb="FFFFFFFF"/>
      <name val="Arial"/>
      <family val="0"/>
      <charset val="1"/>
    </font>
    <font>
      <sz val="10"/>
      <color rgb="FF0000FF"/>
      <name val="Arial"/>
      <family val="0"/>
      <charset val="1"/>
    </font>
    <font>
      <sz val="10"/>
      <color rgb="FF000000"/>
      <name val="Arial"/>
      <family val="0"/>
      <charset val="1"/>
    </font>
    <font>
      <sz val="10"/>
      <color rgb="FF008000"/>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2E5395"/>
        <bgColor rgb="FF1F3864"/>
      </patternFill>
    </fill>
    <fill>
      <patternFill patternType="solid">
        <fgColor rgb="FFD9E1F2"/>
        <bgColor rgb="FFCCFFFF"/>
      </patternFill>
    </fill>
    <fill>
      <patternFill patternType="solid">
        <fgColor rgb="FFFFFF00"/>
        <bgColor rgb="FFFFFF00"/>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5" fontId="9" fillId="0"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64" fontId="6" fillId="4"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7" fontId="9" fillId="5" borderId="1" xfId="0" applyFont="tru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9" fontId="9" fillId="5"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5" fontId="9" fillId="5"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9" fontId="10"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2E539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0"/>
    <col collapsed="false" customWidth="true" hidden="false" outlineLevel="0" max="6" min="3" style="0" width="16"/>
  </cols>
  <sheetData>
    <row r="1" customFormat="false" ht="21.75" hidden="false" customHeight="true" outlineLevel="0" collapsed="false">
      <c r="A1" s="1" t="s">
        <v>0</v>
      </c>
      <c r="B1" s="1"/>
      <c r="C1" s="1"/>
      <c r="D1" s="1"/>
      <c r="E1" s="1"/>
      <c r="F1" s="1"/>
    </row>
    <row r="3" customFormat="false" ht="15" hidden="false" customHeight="false" outlineLevel="0" collapsed="false">
      <c r="A3" s="2" t="s">
        <v>1</v>
      </c>
      <c r="B3" s="2"/>
      <c r="C3" s="2"/>
      <c r="D3" s="2"/>
      <c r="E3" s="2"/>
      <c r="F3" s="2"/>
    </row>
    <row r="5" customFormat="false" ht="15" hidden="false" customHeight="false" outlineLevel="0" collapsed="false">
      <c r="A5" s="3" t="s">
        <v>2</v>
      </c>
    </row>
    <row r="6" customFormat="false" ht="15" hidden="false" customHeight="true" outlineLevel="0" collapsed="false">
      <c r="A6" s="4" t="s">
        <v>3</v>
      </c>
      <c r="B6" s="4"/>
      <c r="C6" s="4"/>
      <c r="D6" s="4"/>
      <c r="E6" s="4"/>
      <c r="F6" s="4"/>
    </row>
    <row r="7" customFormat="false" ht="15" hidden="false" customHeight="false" outlineLevel="0" collapsed="false">
      <c r="A7" s="4"/>
      <c r="B7" s="4"/>
      <c r="C7" s="4"/>
      <c r="D7" s="4"/>
      <c r="E7" s="4"/>
      <c r="F7" s="4"/>
    </row>
    <row r="8" customFormat="false" ht="15" hidden="false" customHeight="false" outlineLevel="0" collapsed="false">
      <c r="A8" s="4"/>
      <c r="B8" s="4"/>
      <c r="C8" s="4"/>
      <c r="D8" s="4"/>
      <c r="E8" s="4"/>
      <c r="F8" s="4"/>
    </row>
    <row r="9" customFormat="false" ht="15" hidden="false" customHeight="false" outlineLevel="0" collapsed="false">
      <c r="A9" s="4"/>
      <c r="B9" s="4"/>
      <c r="C9" s="4"/>
      <c r="D9" s="4"/>
      <c r="E9" s="4"/>
      <c r="F9" s="4"/>
    </row>
    <row r="11" customFormat="false" ht="15" hidden="false" customHeight="false" outlineLevel="0" collapsed="false">
      <c r="A11" s="3" t="s">
        <v>4</v>
      </c>
    </row>
    <row r="12" customFormat="false" ht="15" hidden="false" customHeight="false" outlineLevel="0" collapsed="false">
      <c r="A12" s="5" t="s">
        <v>5</v>
      </c>
      <c r="B12" s="6" t="s">
        <v>6</v>
      </c>
      <c r="C12" s="6"/>
      <c r="D12" s="6"/>
      <c r="E12" s="6"/>
      <c r="F12" s="6"/>
    </row>
    <row r="13" customFormat="false" ht="15" hidden="false" customHeight="false" outlineLevel="0" collapsed="false">
      <c r="A13" s="5" t="s">
        <v>7</v>
      </c>
      <c r="B13" s="6" t="s">
        <v>8</v>
      </c>
      <c r="C13" s="6"/>
      <c r="D13" s="6"/>
      <c r="E13" s="6"/>
      <c r="F13" s="6"/>
    </row>
    <row r="14" customFormat="false" ht="15" hidden="false" customHeight="false" outlineLevel="0" collapsed="false">
      <c r="A14" s="5" t="s">
        <v>9</v>
      </c>
      <c r="B14" s="6" t="s">
        <v>10</v>
      </c>
      <c r="C14" s="6"/>
      <c r="D14" s="6"/>
      <c r="E14" s="6"/>
      <c r="F14" s="6"/>
    </row>
    <row r="16" customFormat="false" ht="15" hidden="false" customHeight="false" outlineLevel="0" collapsed="false">
      <c r="A16" s="3" t="s">
        <v>11</v>
      </c>
    </row>
    <row r="17" customFormat="false" ht="15" hidden="false" customHeight="false" outlineLevel="0" collapsed="false">
      <c r="A17" s="2" t="s">
        <v>12</v>
      </c>
      <c r="B17" s="2"/>
      <c r="C17" s="2"/>
      <c r="D17" s="2"/>
      <c r="E17" s="2"/>
      <c r="F17" s="2"/>
    </row>
    <row r="18" customFormat="false" ht="15" hidden="false" customHeight="false" outlineLevel="0" collapsed="false">
      <c r="A18" s="2" t="s">
        <v>13</v>
      </c>
      <c r="B18" s="2"/>
      <c r="C18" s="2"/>
      <c r="D18" s="2"/>
      <c r="E18" s="2"/>
      <c r="F18" s="2"/>
    </row>
    <row r="19" customFormat="false" ht="15" hidden="false" customHeight="false" outlineLevel="0" collapsed="false">
      <c r="A19" s="2" t="s">
        <v>14</v>
      </c>
      <c r="B19" s="2"/>
      <c r="C19" s="2"/>
      <c r="D19" s="2"/>
      <c r="E19" s="2"/>
      <c r="F19" s="2"/>
    </row>
    <row r="20" customFormat="false" ht="15" hidden="false" customHeight="false" outlineLevel="0" collapsed="false">
      <c r="A20" s="2" t="s">
        <v>15</v>
      </c>
      <c r="B20" s="2"/>
      <c r="C20" s="2"/>
      <c r="D20" s="2"/>
      <c r="E20" s="2"/>
      <c r="F20" s="2"/>
    </row>
    <row r="21" customFormat="false" ht="15" hidden="false" customHeight="false" outlineLevel="0" collapsed="false">
      <c r="A21" s="2" t="s">
        <v>16</v>
      </c>
      <c r="B21" s="2"/>
      <c r="C21" s="2"/>
      <c r="D21" s="2"/>
      <c r="E21" s="2"/>
      <c r="F21" s="2"/>
    </row>
    <row r="22" customFormat="false" ht="15" hidden="false" customHeight="false" outlineLevel="0" collapsed="false">
      <c r="A22" s="2" t="s">
        <v>17</v>
      </c>
      <c r="B22" s="2"/>
      <c r="C22" s="2"/>
      <c r="D22" s="2"/>
      <c r="E22" s="2"/>
      <c r="F22" s="2"/>
    </row>
    <row r="23" customFormat="false" ht="15" hidden="false" customHeight="false" outlineLevel="0" collapsed="false">
      <c r="A23" s="2" t="s">
        <v>18</v>
      </c>
      <c r="B23" s="2"/>
      <c r="C23" s="2"/>
      <c r="D23" s="2"/>
      <c r="E23" s="2"/>
      <c r="F23" s="2"/>
    </row>
    <row r="24" customFormat="false" ht="15" hidden="false" customHeight="false" outlineLevel="0" collapsed="false">
      <c r="A24" s="2" t="s">
        <v>19</v>
      </c>
      <c r="B24" s="2"/>
      <c r="C24" s="2"/>
      <c r="D24" s="2"/>
      <c r="E24" s="2"/>
      <c r="F24" s="2"/>
    </row>
    <row r="26" customFormat="false" ht="15" hidden="false" customHeight="true" outlineLevel="0" collapsed="false">
      <c r="A26" s="7" t="s">
        <v>20</v>
      </c>
      <c r="B26" s="7"/>
      <c r="C26" s="7"/>
      <c r="D26" s="7"/>
      <c r="E26" s="7"/>
      <c r="F26" s="7"/>
    </row>
    <row r="27" customFormat="false" ht="15" hidden="false" customHeight="false" outlineLevel="0" collapsed="false">
      <c r="A27" s="7"/>
      <c r="B27" s="7"/>
      <c r="C27" s="7"/>
      <c r="D27" s="7"/>
      <c r="E27" s="7"/>
      <c r="F27" s="7"/>
    </row>
    <row r="28" customFormat="false" ht="15" hidden="false" customHeight="false" outlineLevel="0" collapsed="false">
      <c r="A28" s="7"/>
      <c r="B28" s="7"/>
      <c r="C28" s="7"/>
      <c r="D28" s="7"/>
      <c r="E28" s="7"/>
      <c r="F28" s="7"/>
    </row>
  </sheetData>
  <mergeCells count="15">
    <mergeCell ref="A1:F1"/>
    <mergeCell ref="A3:F3"/>
    <mergeCell ref="A6:F9"/>
    <mergeCell ref="B12:F12"/>
    <mergeCell ref="B13:F13"/>
    <mergeCell ref="B14:F14"/>
    <mergeCell ref="A17:F17"/>
    <mergeCell ref="A18:F18"/>
    <mergeCell ref="A19:F19"/>
    <mergeCell ref="A20:F20"/>
    <mergeCell ref="A21:F21"/>
    <mergeCell ref="A22:F22"/>
    <mergeCell ref="A23:F23"/>
    <mergeCell ref="A24:F24"/>
    <mergeCell ref="A26: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55"/>
    <col collapsed="false" customWidth="true" hidden="false" outlineLevel="0" max="3" min="3" style="0" width="20"/>
    <col collapsed="false" customWidth="true" hidden="false" outlineLevel="0" max="4" min="4" style="0" width="14"/>
    <col collapsed="false" customWidth="true" hidden="false" outlineLevel="0" max="5" min="5" style="0" width="26"/>
  </cols>
  <sheetData>
    <row r="1" customFormat="false" ht="21.75" hidden="false" customHeight="true" outlineLevel="0" collapsed="false">
      <c r="A1" s="1" t="s">
        <v>21</v>
      </c>
      <c r="B1" s="1"/>
      <c r="C1" s="1"/>
      <c r="D1" s="1"/>
      <c r="E1" s="1"/>
    </row>
    <row r="3" customFormat="false" ht="23.85" hidden="false" customHeight="false" outlineLevel="0" collapsed="false">
      <c r="A3" s="8" t="s">
        <v>22</v>
      </c>
      <c r="B3" s="8" t="s">
        <v>23</v>
      </c>
      <c r="C3" s="8" t="s">
        <v>24</v>
      </c>
      <c r="D3" s="8" t="s">
        <v>25</v>
      </c>
      <c r="E3" s="8" t="s">
        <v>26</v>
      </c>
    </row>
    <row r="4" customFormat="false" ht="30" hidden="false" customHeight="true" outlineLevel="0" collapsed="false">
      <c r="A4" s="9" t="s">
        <v>27</v>
      </c>
      <c r="B4" s="9" t="s">
        <v>28</v>
      </c>
      <c r="C4" s="9" t="s">
        <v>29</v>
      </c>
      <c r="D4" s="10"/>
      <c r="E4" s="9" t="s">
        <v>30</v>
      </c>
    </row>
    <row r="5" customFormat="false" ht="30" hidden="false" customHeight="true" outlineLevel="0" collapsed="false">
      <c r="A5" s="9" t="s">
        <v>31</v>
      </c>
      <c r="B5" s="9" t="s">
        <v>32</v>
      </c>
      <c r="C5" s="9" t="s">
        <v>33</v>
      </c>
      <c r="D5" s="10"/>
      <c r="E5" s="9" t="s">
        <v>34</v>
      </c>
    </row>
    <row r="6" customFormat="false" ht="30" hidden="false" customHeight="true" outlineLevel="0" collapsed="false">
      <c r="A6" s="9" t="s">
        <v>35</v>
      </c>
      <c r="B6" s="9" t="s">
        <v>36</v>
      </c>
      <c r="C6" s="9" t="s">
        <v>37</v>
      </c>
      <c r="D6" s="10" t="n">
        <v>4.6</v>
      </c>
      <c r="E6" s="9" t="s">
        <v>34</v>
      </c>
    </row>
    <row r="7" customFormat="false" ht="30" hidden="false" customHeight="true" outlineLevel="0" collapsed="false">
      <c r="A7" s="9" t="s">
        <v>38</v>
      </c>
      <c r="B7" s="9" t="s">
        <v>39</v>
      </c>
      <c r="C7" s="9" t="s">
        <v>33</v>
      </c>
      <c r="D7" s="10" t="n">
        <v>4.6</v>
      </c>
      <c r="E7" s="9" t="s">
        <v>34</v>
      </c>
    </row>
    <row r="8" customFormat="false" ht="30" hidden="false" customHeight="true" outlineLevel="0" collapsed="false">
      <c r="A8" s="9" t="s">
        <v>40</v>
      </c>
      <c r="B8" s="9" t="s">
        <v>41</v>
      </c>
      <c r="C8" s="9" t="s">
        <v>42</v>
      </c>
      <c r="D8" s="10" t="n">
        <v>4.6</v>
      </c>
      <c r="E8" s="9" t="s">
        <v>43</v>
      </c>
    </row>
    <row r="9" customFormat="false" ht="30" hidden="false" customHeight="true" outlineLevel="0" collapsed="false">
      <c r="A9" s="9" t="s">
        <v>44</v>
      </c>
      <c r="B9" s="9" t="s">
        <v>45</v>
      </c>
      <c r="C9" s="9" t="s">
        <v>46</v>
      </c>
      <c r="D9" s="10" t="n">
        <v>5</v>
      </c>
      <c r="E9" s="9" t="s">
        <v>47</v>
      </c>
    </row>
    <row r="10" customFormat="false" ht="30" hidden="false" customHeight="true" outlineLevel="0" collapsed="false">
      <c r="A10" s="9" t="s">
        <v>48</v>
      </c>
      <c r="B10" s="9" t="s">
        <v>49</v>
      </c>
      <c r="C10" s="9" t="s">
        <v>46</v>
      </c>
      <c r="D10" s="10" t="n">
        <v>5</v>
      </c>
      <c r="E10" s="9" t="s">
        <v>50</v>
      </c>
    </row>
    <row r="11" customFormat="false" ht="30" hidden="false" customHeight="true" outlineLevel="0" collapsed="false">
      <c r="A11" s="9" t="s">
        <v>51</v>
      </c>
      <c r="B11" s="9" t="s">
        <v>52</v>
      </c>
      <c r="C11" s="9" t="s">
        <v>53</v>
      </c>
      <c r="D11" s="10"/>
      <c r="E11" s="9" t="s">
        <v>54</v>
      </c>
    </row>
    <row r="12" customFormat="false" ht="30" hidden="false" customHeight="true" outlineLevel="0" collapsed="false">
      <c r="A12" s="9" t="s">
        <v>51</v>
      </c>
      <c r="B12" s="9" t="s">
        <v>55</v>
      </c>
      <c r="C12" s="9" t="s">
        <v>56</v>
      </c>
      <c r="D12" s="10"/>
      <c r="E12" s="9" t="s">
        <v>54</v>
      </c>
    </row>
    <row r="13" customFormat="false" ht="30" hidden="false" customHeight="true" outlineLevel="0" collapsed="false">
      <c r="A13" s="9" t="s">
        <v>57</v>
      </c>
      <c r="B13" s="9" t="s">
        <v>58</v>
      </c>
      <c r="C13" s="9" t="s">
        <v>37</v>
      </c>
      <c r="D13" s="10" t="n">
        <v>4.8</v>
      </c>
      <c r="E13" s="9" t="s">
        <v>59</v>
      </c>
    </row>
    <row r="14" customFormat="false" ht="30" hidden="false" customHeight="true" outlineLevel="0" collapsed="false">
      <c r="A14" s="9" t="s">
        <v>60</v>
      </c>
      <c r="B14" s="9" t="s">
        <v>61</v>
      </c>
      <c r="C14" s="9" t="s">
        <v>37</v>
      </c>
      <c r="D14" s="10" t="n">
        <v>4.8</v>
      </c>
      <c r="E14" s="9" t="s">
        <v>62</v>
      </c>
    </row>
    <row r="15" customFormat="false" ht="30" hidden="false" customHeight="true" outlineLevel="0" collapsed="false">
      <c r="A15" s="9" t="s">
        <v>63</v>
      </c>
      <c r="B15" s="9" t="s">
        <v>64</v>
      </c>
      <c r="C15" s="9" t="s">
        <v>37</v>
      </c>
      <c r="D15" s="10" t="n">
        <v>4.8</v>
      </c>
      <c r="E15" s="9" t="s">
        <v>62</v>
      </c>
    </row>
    <row r="16" customFormat="false" ht="30" hidden="false" customHeight="true" outlineLevel="0" collapsed="false">
      <c r="A16" s="9" t="s">
        <v>65</v>
      </c>
      <c r="B16" s="9" t="s">
        <v>66</v>
      </c>
      <c r="C16" s="9" t="s">
        <v>37</v>
      </c>
      <c r="D16" s="10" t="n">
        <v>4.8</v>
      </c>
      <c r="E16" s="9" t="s">
        <v>67</v>
      </c>
    </row>
    <row r="17" customFormat="false" ht="30" hidden="false" customHeight="true" outlineLevel="0" collapsed="false">
      <c r="A17" s="9" t="s">
        <v>68</v>
      </c>
      <c r="B17" s="9" t="s">
        <v>69</v>
      </c>
      <c r="C17" s="9" t="s">
        <v>37</v>
      </c>
      <c r="D17" s="10" t="n">
        <v>4.8</v>
      </c>
      <c r="E17" s="9" t="s">
        <v>70</v>
      </c>
    </row>
    <row r="18" customFormat="false" ht="30" hidden="false" customHeight="true" outlineLevel="0" collapsed="false">
      <c r="A18" s="9" t="s">
        <v>71</v>
      </c>
      <c r="B18" s="9" t="s">
        <v>72</v>
      </c>
      <c r="C18" s="9" t="s">
        <v>37</v>
      </c>
      <c r="D18" s="10" t="n">
        <v>4.8</v>
      </c>
      <c r="E18" s="9" t="s">
        <v>73</v>
      </c>
    </row>
    <row r="19" customFormat="false" ht="30" hidden="false" customHeight="true" outlineLevel="0" collapsed="false">
      <c r="A19" s="9" t="s">
        <v>74</v>
      </c>
      <c r="B19" s="9" t="s">
        <v>75</v>
      </c>
      <c r="C19" s="9" t="s">
        <v>37</v>
      </c>
      <c r="D19" s="10" t="n">
        <v>4.8</v>
      </c>
      <c r="E19" s="9" t="s">
        <v>76</v>
      </c>
    </row>
    <row r="20" customFormat="false" ht="30" hidden="false" customHeight="true" outlineLevel="0" collapsed="false">
      <c r="A20" s="9" t="s">
        <v>77</v>
      </c>
      <c r="B20" s="9" t="s">
        <v>78</v>
      </c>
      <c r="C20" s="9" t="s">
        <v>37</v>
      </c>
      <c r="D20" s="10" t="n">
        <v>4.8</v>
      </c>
      <c r="E20" s="9" t="s">
        <v>79</v>
      </c>
    </row>
    <row r="21" customFormat="false" ht="30" hidden="false" customHeight="true" outlineLevel="0" collapsed="false">
      <c r="A21" s="9" t="s">
        <v>80</v>
      </c>
      <c r="B21" s="9" t="s">
        <v>81</v>
      </c>
      <c r="C21" s="9" t="s">
        <v>37</v>
      </c>
      <c r="D21" s="10" t="n">
        <v>4.8</v>
      </c>
      <c r="E21" s="9" t="s">
        <v>82</v>
      </c>
    </row>
    <row r="22" customFormat="false" ht="30" hidden="false" customHeight="true" outlineLevel="0" collapsed="false">
      <c r="A22" s="9" t="s">
        <v>83</v>
      </c>
      <c r="B22" s="9" t="s">
        <v>84</v>
      </c>
      <c r="C22" s="9" t="s">
        <v>37</v>
      </c>
      <c r="D22" s="10" t="n">
        <v>4.8</v>
      </c>
      <c r="E22" s="9" t="s">
        <v>85</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5" min="2" style="0" width="12"/>
    <col collapsed="false" customWidth="true" hidden="false" outlineLevel="0" max="7" min="6" style="0" width="14"/>
    <col collapsed="false" customWidth="true" hidden="false" outlineLevel="0" max="8" min="8" style="0" width="2"/>
  </cols>
  <sheetData>
    <row r="1" customFormat="false" ht="21.75" hidden="false" customHeight="true" outlineLevel="0" collapsed="false">
      <c r="A1" s="1" t="s">
        <v>86</v>
      </c>
      <c r="B1" s="1"/>
      <c r="C1" s="1"/>
      <c r="D1" s="1"/>
      <c r="E1" s="1"/>
      <c r="F1" s="1"/>
      <c r="G1" s="1"/>
      <c r="H1" s="1"/>
    </row>
    <row r="3" customFormat="false" ht="15" hidden="false" customHeight="false" outlineLevel="0" collapsed="false">
      <c r="A3" s="8" t="s">
        <v>87</v>
      </c>
      <c r="B3" s="8" t="s">
        <v>88</v>
      </c>
      <c r="C3" s="8" t="s">
        <v>89</v>
      </c>
      <c r="D3" s="8" t="s">
        <v>90</v>
      </c>
      <c r="E3" s="8" t="s">
        <v>91</v>
      </c>
      <c r="F3" s="8" t="s">
        <v>92</v>
      </c>
      <c r="G3" s="8" t="s">
        <v>93</v>
      </c>
    </row>
    <row r="4" customFormat="false" ht="15" hidden="false" customHeight="false" outlineLevel="0" collapsed="false">
      <c r="A4" s="11" t="s">
        <v>94</v>
      </c>
      <c r="B4" s="12" t="n">
        <v>1287</v>
      </c>
      <c r="C4" s="12" t="n">
        <v>2149</v>
      </c>
      <c r="D4" s="12" t="n">
        <v>1948</v>
      </c>
      <c r="E4" s="12" t="n">
        <v>1942</v>
      </c>
      <c r="F4" s="12" t="n">
        <v>1581</v>
      </c>
      <c r="G4" s="12" t="n">
        <v>1642</v>
      </c>
    </row>
    <row r="5" customFormat="false" ht="15" hidden="false" customHeight="false" outlineLevel="0" collapsed="false">
      <c r="A5" s="11" t="s">
        <v>95</v>
      </c>
      <c r="B5" s="12" t="n">
        <v>207.4</v>
      </c>
      <c r="C5" s="12" t="n">
        <v>266.2</v>
      </c>
      <c r="D5" s="12" t="n">
        <v>289.7</v>
      </c>
      <c r="E5" s="12" t="n">
        <v>130.1</v>
      </c>
      <c r="F5" s="12" t="n">
        <v>393.3</v>
      </c>
      <c r="G5" s="12" t="n">
        <v>412.7</v>
      </c>
    </row>
    <row r="6" customFormat="false" ht="15" hidden="false" customHeight="false" outlineLevel="0" collapsed="false">
      <c r="A6" s="11" t="s">
        <v>96</v>
      </c>
      <c r="B6" s="12" t="n">
        <v>-142.6</v>
      </c>
      <c r="C6" s="12" t="n">
        <v>36.8</v>
      </c>
      <c r="D6" s="12" t="n">
        <v>51.4</v>
      </c>
      <c r="E6" s="12" t="n">
        <v>-185.3</v>
      </c>
      <c r="F6" s="12" t="n">
        <v>16.1</v>
      </c>
      <c r="G6" s="12" t="n">
        <v>111.7</v>
      </c>
    </row>
    <row r="7" customFormat="false" ht="15" hidden="false" customHeight="false" outlineLevel="0" collapsed="false">
      <c r="A7" s="11" t="s">
        <v>97</v>
      </c>
      <c r="B7" s="13" t="n">
        <v>589</v>
      </c>
      <c r="C7" s="13" t="n">
        <v>650</v>
      </c>
      <c r="D7" s="13" t="n">
        <v>657</v>
      </c>
      <c r="E7" s="13" t="n">
        <v>665</v>
      </c>
      <c r="F7" s="13" t="n">
        <v>668</v>
      </c>
      <c r="G7" s="13" t="n">
        <v>668</v>
      </c>
    </row>
    <row r="8" customFormat="false" ht="15" hidden="false" customHeight="false" outlineLevel="0" collapsed="false">
      <c r="A8" s="11" t="s">
        <v>98</v>
      </c>
      <c r="B8" s="14" t="n">
        <f aca="false">B5/B4</f>
        <v>0.161149961149961</v>
      </c>
      <c r="C8" s="14" t="n">
        <f aca="false">C5/C4</f>
        <v>0.123871568171242</v>
      </c>
      <c r="D8" s="14" t="n">
        <f aca="false">D5/D4</f>
        <v>0.148716632443532</v>
      </c>
      <c r="E8" s="14" t="n">
        <f aca="false">E5/E4</f>
        <v>0.0669927909371782</v>
      </c>
      <c r="F8" s="14" t="n">
        <f aca="false">F5/F4</f>
        <v>0.24876660341556</v>
      </c>
      <c r="G8" s="14" t="n">
        <f aca="false">G5/G4</f>
        <v>0.251339829476248</v>
      </c>
    </row>
    <row r="9" customFormat="false" ht="15" hidden="false" customHeight="false" outlineLevel="0" collapsed="false">
      <c r="A9" s="11" t="s">
        <v>99</v>
      </c>
      <c r="B9" s="14" t="n">
        <f aca="false">B6/B4</f>
        <v>-0.110800310800311</v>
      </c>
      <c r="C9" s="14" t="n">
        <f aca="false">C6/C4</f>
        <v>0.0171242438343416</v>
      </c>
      <c r="D9" s="14" t="n">
        <f aca="false">D6/D4</f>
        <v>0.0263860369609856</v>
      </c>
      <c r="E9" s="14" t="n">
        <f aca="false">E6/E4</f>
        <v>-0.0954170957775489</v>
      </c>
      <c r="F9" s="14" t="n">
        <f aca="false">F6/F4</f>
        <v>0.0101834282099937</v>
      </c>
      <c r="G9" s="14" t="n">
        <f aca="false">G6/G4</f>
        <v>0.068026796589525</v>
      </c>
    </row>
    <row r="11" customFormat="false" ht="15" hidden="false" customHeight="false" outlineLevel="0" collapsed="false">
      <c r="A11" s="15" t="s">
        <v>100</v>
      </c>
      <c r="B11" s="15"/>
      <c r="C11" s="15"/>
      <c r="D11" s="15"/>
      <c r="E11" s="15"/>
      <c r="F11" s="15"/>
      <c r="G11" s="15"/>
      <c r="H11" s="15"/>
    </row>
    <row r="12" customFormat="false" ht="23.85" hidden="false" customHeight="false" outlineLevel="0" collapsed="false">
      <c r="A12" s="8" t="s">
        <v>101</v>
      </c>
      <c r="B12" s="8" t="s">
        <v>102</v>
      </c>
      <c r="C12" s="8" t="s">
        <v>103</v>
      </c>
      <c r="D12" s="8" t="s">
        <v>104</v>
      </c>
      <c r="E12" s="8" t="s">
        <v>105</v>
      </c>
      <c r="F12" s="8" t="s">
        <v>106</v>
      </c>
      <c r="G12" s="8"/>
    </row>
    <row r="13" customFormat="false" ht="15" hidden="false" customHeight="false" outlineLevel="0" collapsed="false">
      <c r="A13" s="11" t="s">
        <v>107</v>
      </c>
      <c r="B13" s="12" t="n">
        <v>319.6</v>
      </c>
      <c r="C13" s="12"/>
      <c r="D13" s="12" t="n">
        <v>323</v>
      </c>
      <c r="E13" s="12" t="n">
        <v>340.5</v>
      </c>
      <c r="F13" s="12" t="n">
        <v>342</v>
      </c>
    </row>
    <row r="15" customFormat="false" ht="15" hidden="false" customHeight="true" outlineLevel="0" collapsed="false">
      <c r="A15" s="7" t="s">
        <v>108</v>
      </c>
      <c r="B15" s="7"/>
      <c r="C15" s="7"/>
      <c r="D15" s="7"/>
      <c r="E15" s="7"/>
      <c r="F15" s="7"/>
      <c r="G15" s="7"/>
      <c r="H15" s="7"/>
    </row>
    <row r="16" customFormat="false" ht="15" hidden="false" customHeight="false" outlineLevel="0" collapsed="false">
      <c r="A16" s="7"/>
      <c r="B16" s="7"/>
      <c r="C16" s="7"/>
      <c r="D16" s="7"/>
      <c r="E16" s="7"/>
      <c r="F16" s="7"/>
      <c r="G16" s="7"/>
      <c r="H16" s="7"/>
    </row>
    <row r="17" customFormat="false" ht="15" hidden="false" customHeight="false" outlineLevel="0" collapsed="false">
      <c r="A17" s="7"/>
      <c r="B17" s="7"/>
      <c r="C17" s="7"/>
      <c r="D17" s="7"/>
      <c r="E17" s="7"/>
      <c r="F17" s="7"/>
      <c r="G17" s="7"/>
      <c r="H17" s="7"/>
    </row>
  </sheetData>
  <mergeCells count="3">
    <mergeCell ref="A1:H1"/>
    <mergeCell ref="A11:H11"/>
    <mergeCell ref="A15:H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4"/>
    <col collapsed="false" customWidth="true" hidden="false" outlineLevel="0" max="3" min="3" style="0" width="16"/>
    <col collapsed="false" customWidth="true" hidden="false" outlineLevel="0" max="4" min="4" style="0" width="14"/>
    <col collapsed="false" customWidth="true" hidden="false" outlineLevel="0" max="5" min="5" style="0" width="16"/>
    <col collapsed="false" customWidth="true" hidden="false" outlineLevel="0" max="7" min="6" style="0" width="14"/>
    <col collapsed="false" customWidth="true" hidden="false" outlineLevel="0" max="8" min="8" style="0" width="16"/>
  </cols>
  <sheetData>
    <row r="1" customFormat="false" ht="21.75" hidden="false" customHeight="true" outlineLevel="0" collapsed="false">
      <c r="A1" s="1" t="s">
        <v>109</v>
      </c>
      <c r="B1" s="1"/>
      <c r="C1" s="1"/>
      <c r="D1" s="1"/>
      <c r="E1" s="1"/>
      <c r="F1" s="1"/>
      <c r="G1" s="1"/>
      <c r="H1" s="1"/>
    </row>
    <row r="3" customFormat="false" ht="15" hidden="false" customHeight="false" outlineLevel="0" collapsed="false">
      <c r="A3" s="15" t="s">
        <v>110</v>
      </c>
      <c r="B3" s="15"/>
      <c r="C3" s="15"/>
      <c r="D3" s="15"/>
      <c r="E3" s="15"/>
      <c r="F3" s="15"/>
      <c r="G3" s="15"/>
      <c r="H3" s="15"/>
    </row>
    <row r="4" customFormat="false" ht="15" hidden="false" customHeight="false" outlineLevel="0" collapsed="false">
      <c r="A4" s="16" t="s">
        <v>111</v>
      </c>
      <c r="B4" s="17" t="n">
        <v>668</v>
      </c>
    </row>
    <row r="5" customFormat="false" ht="15" hidden="false" customHeight="false" outlineLevel="0" collapsed="false">
      <c r="A5" s="16" t="s">
        <v>112</v>
      </c>
      <c r="B5" s="18" t="n">
        <f aca="false">'Financial Summary'!F5</f>
        <v>393.3</v>
      </c>
    </row>
    <row r="6" customFormat="false" ht="15" hidden="false" customHeight="false" outlineLevel="0" collapsed="false">
      <c r="A6" s="16" t="s">
        <v>113</v>
      </c>
      <c r="B6" s="18" t="n">
        <f aca="false">'Financial Summary'!G5</f>
        <v>412.7</v>
      </c>
    </row>
    <row r="7" customFormat="false" ht="15" hidden="false" customHeight="false" outlineLevel="0" collapsed="false">
      <c r="A7" s="16" t="s">
        <v>114</v>
      </c>
      <c r="B7" s="19" t="n">
        <v>1.1</v>
      </c>
    </row>
    <row r="8" customFormat="false" ht="15" hidden="false" customHeight="false" outlineLevel="0" collapsed="false">
      <c r="A8" s="16" t="s">
        <v>115</v>
      </c>
      <c r="B8" s="20" t="n">
        <f aca="false">B7*B5</f>
        <v>432.63</v>
      </c>
    </row>
    <row r="9" customFormat="false" ht="15" hidden="false" customHeight="false" outlineLevel="0" collapsed="false">
      <c r="A9" s="16" t="s">
        <v>116</v>
      </c>
      <c r="B9" s="21" t="n">
        <v>3.06</v>
      </c>
    </row>
    <row r="11" customFormat="false" ht="23.85" hidden="false" customHeight="false" outlineLevel="0" collapsed="false">
      <c r="A11" s="8" t="s">
        <v>117</v>
      </c>
      <c r="B11" s="8" t="s">
        <v>118</v>
      </c>
      <c r="C11" s="8" t="s">
        <v>119</v>
      </c>
      <c r="D11" s="8" t="s">
        <v>120</v>
      </c>
      <c r="E11" s="8" t="s">
        <v>121</v>
      </c>
      <c r="F11" s="8" t="s">
        <v>122</v>
      </c>
      <c r="G11" s="8" t="s">
        <v>123</v>
      </c>
      <c r="H11" s="8" t="s">
        <v>124</v>
      </c>
    </row>
    <row r="12" customFormat="false" ht="25.5" hidden="false" customHeight="true" outlineLevel="0" collapsed="false">
      <c r="A12" s="22" t="s">
        <v>125</v>
      </c>
      <c r="B12" s="23" t="n">
        <v>3.06</v>
      </c>
      <c r="C12" s="20" t="n">
        <f aca="false">B12*$B$4</f>
        <v>2044.08</v>
      </c>
      <c r="D12" s="20" t="n">
        <f aca="false">$B$8</f>
        <v>432.63</v>
      </c>
      <c r="E12" s="20" t="n">
        <f aca="false">C12+D12</f>
        <v>2476.71</v>
      </c>
      <c r="F12" s="24" t="n">
        <f aca="false">E12/$B$5</f>
        <v>6.29725400457666</v>
      </c>
      <c r="G12" s="24" t="n">
        <f aca="false">E12/$B$6</f>
        <v>6.00123576447783</v>
      </c>
      <c r="H12" s="14" t="n">
        <f aca="false">B12/$B$9-1</f>
        <v>0</v>
      </c>
    </row>
    <row r="13" customFormat="false" ht="25.5" hidden="false" customHeight="true" outlineLevel="0" collapsed="false">
      <c r="A13" s="22" t="s">
        <v>126</v>
      </c>
      <c r="B13" s="23" t="n">
        <v>4.6</v>
      </c>
      <c r="C13" s="20" t="n">
        <f aca="false">B13*$B$4</f>
        <v>3072.8</v>
      </c>
      <c r="D13" s="20" t="n">
        <f aca="false">$B$8</f>
        <v>432.63</v>
      </c>
      <c r="E13" s="20" t="n">
        <f aca="false">C13+D13</f>
        <v>3505.43</v>
      </c>
      <c r="F13" s="24" t="n">
        <f aca="false">E13/$B$5</f>
        <v>8.91286549707602</v>
      </c>
      <c r="G13" s="24" t="n">
        <f aca="false">E13/$B$6</f>
        <v>8.49389386963896</v>
      </c>
      <c r="H13" s="14" t="n">
        <f aca="false">B13/$B$9-1</f>
        <v>0.503267973856209</v>
      </c>
    </row>
    <row r="14" customFormat="false" ht="25.5" hidden="false" customHeight="true" outlineLevel="0" collapsed="false">
      <c r="A14" s="22" t="s">
        <v>127</v>
      </c>
      <c r="B14" s="23" t="n">
        <v>4.6</v>
      </c>
      <c r="C14" s="20" t="n">
        <f aca="false">B14*$B$4</f>
        <v>3072.8</v>
      </c>
      <c r="D14" s="20" t="n">
        <f aca="false">$B$8</f>
        <v>432.63</v>
      </c>
      <c r="E14" s="20" t="n">
        <f aca="false">C14+D14</f>
        <v>3505.43</v>
      </c>
      <c r="F14" s="24" t="n">
        <f aca="false">E14/$B$5</f>
        <v>8.91286549707602</v>
      </c>
      <c r="G14" s="24" t="n">
        <f aca="false">E14/$B$6</f>
        <v>8.49389386963896</v>
      </c>
      <c r="H14" s="14" t="n">
        <f aca="false">B14/$B$9-1</f>
        <v>0.503267973856209</v>
      </c>
    </row>
    <row r="15" customFormat="false" ht="25.5" hidden="false" customHeight="true" outlineLevel="0" collapsed="false">
      <c r="A15" s="22" t="s">
        <v>128</v>
      </c>
      <c r="B15" s="23" t="n">
        <v>5</v>
      </c>
      <c r="C15" s="20" t="n">
        <f aca="false">B15*$B$4</f>
        <v>3340</v>
      </c>
      <c r="D15" s="20" t="n">
        <f aca="false">$B$8</f>
        <v>432.63</v>
      </c>
      <c r="E15" s="20" t="n">
        <f aca="false">C15+D15</f>
        <v>3772.63</v>
      </c>
      <c r="F15" s="24" t="n">
        <f aca="false">E15/$B$5</f>
        <v>9.59224510551742</v>
      </c>
      <c r="G15" s="24" t="n">
        <f aca="false">E15/$B$6</f>
        <v>9.14133753331718</v>
      </c>
      <c r="H15" s="14" t="n">
        <f aca="false">B15/$B$9-1</f>
        <v>0.633986928104575</v>
      </c>
    </row>
    <row r="16" customFormat="false" ht="25.5" hidden="false" customHeight="true" outlineLevel="0" collapsed="false">
      <c r="A16" s="22" t="s">
        <v>129</v>
      </c>
      <c r="B16" s="23" t="n">
        <v>4.8</v>
      </c>
      <c r="C16" s="20" t="n">
        <f aca="false">B16*$B$4</f>
        <v>3206.4</v>
      </c>
      <c r="D16" s="20" t="n">
        <f aca="false">$B$8</f>
        <v>432.63</v>
      </c>
      <c r="E16" s="20" t="n">
        <f aca="false">C16+D16</f>
        <v>3639.03</v>
      </c>
      <c r="F16" s="24" t="n">
        <f aca="false">E16/$B$5</f>
        <v>9.25255530129672</v>
      </c>
      <c r="G16" s="24" t="n">
        <f aca="false">E16/$B$6</f>
        <v>8.81761570147807</v>
      </c>
      <c r="H16" s="14" t="n">
        <f aca="false">B16/$B$9-1</f>
        <v>0.568627450980392</v>
      </c>
    </row>
    <row r="18" customFormat="false" ht="15" hidden="false" customHeight="true" outlineLevel="0" collapsed="false">
      <c r="A18" s="7" t="s">
        <v>130</v>
      </c>
      <c r="B18" s="7"/>
      <c r="C18" s="7"/>
      <c r="D18" s="7"/>
      <c r="E18" s="7"/>
      <c r="F18" s="7"/>
      <c r="G18" s="7"/>
      <c r="H18" s="7"/>
    </row>
    <row r="19" customFormat="false" ht="15" hidden="false" customHeight="false" outlineLevel="0" collapsed="false">
      <c r="A19" s="7"/>
      <c r="B19" s="7"/>
      <c r="C19" s="7"/>
      <c r="D19" s="7"/>
      <c r="E19" s="7"/>
      <c r="F19" s="7"/>
      <c r="G19" s="7"/>
      <c r="H19" s="7"/>
    </row>
    <row r="20" customFormat="false" ht="15" hidden="false" customHeight="false" outlineLevel="0" collapsed="false">
      <c r="A20" s="7"/>
      <c r="B20" s="7"/>
      <c r="C20" s="7"/>
      <c r="D20" s="7"/>
      <c r="E20" s="7"/>
      <c r="F20" s="7"/>
      <c r="G20" s="7"/>
      <c r="H20" s="7"/>
    </row>
    <row r="21" customFormat="false" ht="15" hidden="false" customHeight="false" outlineLevel="0" collapsed="false">
      <c r="A21" s="7"/>
      <c r="B21" s="7"/>
      <c r="C21" s="7"/>
      <c r="D21" s="7"/>
      <c r="E21" s="7"/>
      <c r="F21" s="7"/>
      <c r="G21" s="7"/>
      <c r="H21" s="7"/>
    </row>
    <row r="22" customFormat="false" ht="15" hidden="false" customHeight="false" outlineLevel="0" collapsed="false">
      <c r="A22" s="7"/>
      <c r="B22" s="7"/>
      <c r="C22" s="7"/>
      <c r="D22" s="7"/>
      <c r="E22" s="7"/>
      <c r="F22" s="7"/>
      <c r="G22" s="7"/>
      <c r="H22" s="7"/>
    </row>
  </sheetData>
  <mergeCells count="3">
    <mergeCell ref="A1:H1"/>
    <mergeCell ref="A3:H3"/>
    <mergeCell ref="A18:H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2026-08-12T03:07:21Z</dcterms:created>
  <dc:creator>openpyxl</dc:creator>
  <dc:description/>
  <dc:language>en-US</dc:language>
  <cp:lastModifiedBy/>
  <dcterms:modified xsi:type="dcterms:W3CDTF">2026-08-12T03:07:21Z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
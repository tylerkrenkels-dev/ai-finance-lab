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Sources" sheetId="1" state="visible" r:id="rId3"/>
    <sheet name="Deal Timeline" sheetId="2" state="visible" r:id="rId4"/>
    <sheet name="Financial Summary" sheetId="3" state="visible" r:id="rId5"/>
    <sheet name="Valuation Analysis" sheetId="4" state="visible" r:id="rId6"/>
    <sheet name="Wealth Mgmt Divestmen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<sst xmlns="http://schemas.openxmlformats.org/spreadsheetml/2006/main" count="153" uniqueCount="138">
  <si>
    <t xml:space="preserve">Perpetual Limited (ASX: PPT) — Live M&amp;A Situation</t>
  </si>
  <si>
    <t xml:space="preserve">LIVE SITUATION — as at 12 August 2026. No binding agreement exists. Figures will move; check dates on every tab.</t>
  </si>
  <si>
    <t xml:space="preserve">Prepared by Tyler Krenkels — self-directed case study, not affiliated with Perpetual Limited, EQT AB or Bain Capital</t>
  </si>
  <si>
    <t xml:space="preserve">Purpose</t>
  </si>
  <si>
    <t xml:space="preserve">Live tracking model for EQT AB's ongoing pursuit of Perpetual Limited, Australia's oldest listed financial services group (Asset Management + Corporate Trust, formerly also Wealth Management). Three non-binding proposals have been rejected by the Perpetual board since 1 July 2026 ($21.64, $22.07, $22.50/share); the board has now granted EQT limited due diligence access. Complicated by a parallel, separately-agreed sale of Perpetual's Wealth Management division to Bain Capital, which is itself a stated condition of any binding EQT transaction. Built to demonstrate live M&amp;A/Financial Sponsors tracking: bid walk, premium analysis, and the leverage mechanics of the linked divestment.</t>
  </si>
  <si>
    <t xml:space="preserve">Sheet Guide</t>
  </si>
  <si>
    <t xml:space="preserve">Deal Timeline</t>
  </si>
  <si>
    <t xml:space="preserve">Chronology from the 2024-25 KKR scheme (terminated) through the current EQT pursuit and the Bain Wealth Management sale</t>
  </si>
  <si>
    <t xml:space="preserve">Financial Summary</t>
  </si>
  <si>
    <t xml:space="preserve">FY24, FY25 and 1H26 group financials, AUM/FUA, and segment commentary</t>
  </si>
  <si>
    <t xml:space="preserve">Valuation Analysis</t>
  </si>
  <si>
    <t xml:space="preserve">Equity value, EV and EV/EBITDA implied by each EQT proposal, premium to pre-approach price, and gap to current trading price</t>
  </si>
  <si>
    <t xml:space="preserve">Wealth Mgmt Divestment</t>
  </si>
  <si>
    <t xml:space="preserve">Bain Capital transaction terms and estimated pro-forma leverage impact</t>
  </si>
  <si>
    <t xml:space="preserve">Key Sources</t>
  </si>
  <si>
    <t xml:space="preserve">•  Perpetual FY25 Financial Results / ASX Announcement, 28 August 2025 (perpetual.com.au)</t>
  </si>
  <si>
    <t xml:space="preserve">•  Perpetual Annual General Meeting 2025 addresses, incl. termination of KKR Scheme Implementation Deed</t>
  </si>
  <si>
    <t xml:space="preserve">•  Perpetual 1H26 Results Presentation and ASX release, 25-26 February 2026</t>
  </si>
  <si>
    <t xml:space="preserve">•  Perpetual 1H26 earnings coverage — The Motley Fool Australia, 6 May 2026 (Bain Capital Wealth Management sale terms)</t>
  </si>
  <si>
    <t xml:space="preserve">•  Proactive Investors / Money Management, coverage of EQT's initial $21.64 proposal, 1-2 July 2026</t>
  </si>
  <si>
    <t xml:space="preserve">•  Capital Brief, TipRanks, Kalkine, Bloomberg — coverage of EQT's $22.07 and $22.50 revised proposals, mid-late July 2026</t>
  </si>
  <si>
    <t xml:space="preserve">•  Bloomberg, 'Perpetual Rejects EQT Takeover Offer, Will Engage on New Bid', 29 July 2026</t>
  </si>
  <si>
    <t xml:space="preserve">•  Morningstar (Shaun Ler), Stockopedia, StockAnalysis.com — share price and statistics, late July 2026</t>
  </si>
  <si>
    <t xml:space="preserve">Note: equity values reported in the press for each EQT proposal imply slightly different share counts (approx. 113-118m), likely reflecting rounding and treatment of options/rights across different reports. This model uses Perpetual's FY25-disclosed diluted weighted-average share count (112.9m) as a consistent basis across all bids — implied equity values will therefore sit close to, but not always exactly match, the headline figures quoted in individual news articles.</t>
  </si>
  <si>
    <t xml:space="preserve">Deal Timeline — KKR Scheme, EQT Pursuit and the Bain Wealth Management Sale</t>
  </si>
  <si>
    <t xml:space="preserve">Date</t>
  </si>
  <si>
    <t xml:space="preserve">Event</t>
  </si>
  <si>
    <t xml:space="preserve">Party</t>
  </si>
  <si>
    <t xml:space="preserve">Price / Share</t>
  </si>
  <si>
    <t xml:space="preserve">Status</t>
  </si>
  <si>
    <t xml:space="preserve">2024</t>
  </si>
  <si>
    <t xml:space="preserve">Perpetual progresses internal separation of Asset Management, Wealth Management and Corporate Trust in preparation for a Scheme with KKR (KKR to acquire Wealth Management and Corporate Trust)</t>
  </si>
  <si>
    <t xml:space="preserve">KKR</t>
  </si>
  <si>
    <t xml:space="preserve">In preparation</t>
  </si>
  <si>
    <t xml:space="preserve">Feb 2025</t>
  </si>
  <si>
    <t xml:space="preserve">Scheme Implementation Deed with KKR terminated</t>
  </si>
  <si>
    <t xml:space="preserve">KKR (deal ends)</t>
  </si>
  <si>
    <t xml:space="preserve">Terminated</t>
  </si>
  <si>
    <t xml:space="preserve">Sep 2024</t>
  </si>
  <si>
    <t xml:space="preserve">Bernard Reilly appointed CEO and Managing Director, tasked with cost reduction and Asset Management turnaround</t>
  </si>
  <si>
    <t xml:space="preserve">-</t>
  </si>
  <si>
    <t xml:space="preserve">Management change</t>
  </si>
  <si>
    <t xml:space="preserve">21-Aug-2025</t>
  </si>
  <si>
    <t xml:space="preserve">FY25 results: UPAT $204.1m (-1%), statutory net loss $58.2m (incl. $134.6m J O Hambro impairment), Simplification Program savings ahead of target</t>
  </si>
  <si>
    <t xml:space="preserve">FY25 result</t>
  </si>
  <si>
    <t xml:space="preserve">Feb-2026</t>
  </si>
  <si>
    <t xml:space="preserve">Perpetual confirms it is progressing the sale of Wealth Management (referenced at 1H26 results, 25-26 Feb 2026)</t>
  </si>
  <si>
    <t xml:space="preserve">In progress</t>
  </si>
  <si>
    <t xml:space="preserve">~Mar/May-2026</t>
  </si>
  <si>
    <t xml:space="preserve">Perpetual agrees sale of Wealth Management division to Bain Capital Private Equity: $500m upfront cash + up to $100m performance earnout; targets pro-forma net debt/EBITDA ~0.2x post-completion; completion targeted Q4 CY2026</t>
  </si>
  <si>
    <t xml:space="preserve">Bain Capital</t>
  </si>
  <si>
    <t xml:space="preserve">Agreed, pending completion</t>
  </si>
  <si>
    <t xml:space="preserve">~29-Jun-2026</t>
  </si>
  <si>
    <t xml:space="preserve">Undisturbed closing price prior to takeover speculation</t>
  </si>
  <si>
    <t xml:space="preserve">Reference price</t>
  </si>
  <si>
    <t xml:space="preserve">1-Jul-2026</t>
  </si>
  <si>
    <t xml:space="preserve">Perpetual enters trading halt on market reports of an EQT-assembled bid; shares surge</t>
  </si>
  <si>
    <t xml:space="preserve">EQT AB (via Windflower Pte)</t>
  </si>
  <si>
    <t xml:space="preserve">Trading halt</t>
  </si>
  <si>
    <t xml:space="preserve">EQT's initial non-binding, indicative proposal disclosed and rejected same day — board cites high conditionality and inadequate value</t>
  </si>
  <si>
    <t xml:space="preserve">EQT AB</t>
  </si>
  <si>
    <t xml:space="preserve">Rejected</t>
  </si>
  <si>
    <t xml:space="preserve">15/17-Jul-2026</t>
  </si>
  <si>
    <t xml:space="preserve">EQT lodges revised non-binding proposal, a 2% increase; rejected by the board</t>
  </si>
  <si>
    <t xml:space="preserve">26-Jul-2026</t>
  </si>
  <si>
    <t xml:space="preserve">EQT lodges further revised non-binding proposal, a 2% increase on the prior offer (4% above the original)</t>
  </si>
  <si>
    <t xml:space="preserve">Rejected 28/29-Jul</t>
  </si>
  <si>
    <t xml:space="preserve">28/29-Jul-2026</t>
  </si>
  <si>
    <t xml:space="preserve">Board rejects $22.50 proposal as not in shareholders' best interests, but agrees to grant EQT limited non-public information under confidentiality and standstill to help formulate an improved offer</t>
  </si>
  <si>
    <t xml:space="preserve">Rejected; limited DD access granted</t>
  </si>
  <si>
    <t xml:space="preserve">27-Aug-2026</t>
  </si>
  <si>
    <t xml:space="preserve">FY26 full-year results scheduled for release</t>
  </si>
  <si>
    <t xml:space="preserve">Upcoming</t>
  </si>
  <si>
    <t xml:space="preserve">Q4 CY2026</t>
  </si>
  <si>
    <t xml:space="preserve">Targeted completion of Wealth Management sale to Bain Capital (subject to regulatory and court approvals)</t>
  </si>
  <si>
    <t xml:space="preserve">Targeted, not yet completed</t>
  </si>
  <si>
    <t xml:space="preserve">Financial Summary — FY24 to 1H26 / TTM</t>
  </si>
  <si>
    <t xml:space="preserve">($m AUD unless noted)</t>
  </si>
  <si>
    <t xml:space="preserve">FY24</t>
  </si>
  <si>
    <t xml:space="preserve">FY25</t>
  </si>
  <si>
    <t xml:space="preserve">1H26 (to 31-Dec-25)</t>
  </si>
  <si>
    <t xml:space="preserve">TTM (recent)</t>
  </si>
  <si>
    <t xml:space="preserve">Revenue</t>
  </si>
  <si>
    <t xml:space="preserve">Group EBITDA</t>
  </si>
  <si>
    <t xml:space="preserve">Underlying Profit After Tax (UPAT)</t>
  </si>
  <si>
    <t xml:space="preserve">Statutory Net Profit / (Loss) After Tax</t>
  </si>
  <si>
    <t xml:space="preserve">Assets Under Management / FUA</t>
  </si>
  <si>
    <t xml:space="preserve">($bn AUD)</t>
  </si>
  <si>
    <t xml:space="preserve">30-Jun-25</t>
  </si>
  <si>
    <t xml:space="preserve">31-Dec-25</t>
  </si>
  <si>
    <t xml:space="preserve">Asset Management AUM</t>
  </si>
  <si>
    <t xml:space="preserve">Corporate Trust FUA ($tn)</t>
  </si>
  <si>
    <t xml:space="preserve">Balance Sheet &amp; Capital Return</t>
  </si>
  <si>
    <t xml:space="preserve">Gross debt ($m, 30-Jun-25)</t>
  </si>
  <si>
    <t xml:space="preserve">Diluted weighted-average shares, UPAT basis (m, FY25)</t>
  </si>
  <si>
    <t xml:space="preserve">FY25 dividend per share ($)</t>
  </si>
  <si>
    <t xml:space="preserve">FY25 dividend payout ratio (% of UPAT)</t>
  </si>
  <si>
    <t xml:space="preserve">FY24/FY25 Revenue and UPAT per Perpetual FY25 Results (28 Aug 2025) and 1H26 coverage. Group EBITDA not separately disclosed at full-year level in the same format as 1H — 1H26 EBITDA of $205.6m was reported roughly flat versus 1H25's $206.6m. TTM EBITDA and TTM figures are aggregator estimates (S&amp;P Global Market Intelligence via investing.com/StockAnalysis, dated late July 2026) and may not precisely tie to Perpetual's own segment disclosures — treat as directional. FY25 statutory loss driven by a $134.6m impairment, predominantly the J O Hambro boutique, plus KKR transaction and Simplification Program costs.</t>
  </si>
  <si>
    <t xml:space="preserve">Valuation Analysis — EQT Bid Walk (LIVE — no binding deal yet)</t>
  </si>
  <si>
    <t xml:space="preserve">Key Assumptions (editable inputs — blue cells)</t>
  </si>
  <si>
    <t xml:space="preserve">Diluted shares outstanding, UPAT basis (m) — per FY25 disclosure</t>
  </si>
  <si>
    <t xml:space="preserve">TTM EBITDA ($m) — link to Financial Summary</t>
  </si>
  <si>
    <t xml:space="preserve">Estimated net debt ($m) — cash $325.6m, debt $909m, recent TTM snapshot</t>
  </si>
  <si>
    <t xml:space="preserve">Pre-approach closing price, ~29-Jun-2026 ($)</t>
  </si>
  <si>
    <t xml:space="preserve">Most recent traded price ($) — 27-Jul-2026 close, per Morningstar</t>
  </si>
  <si>
    <t xml:space="preserve">Stage</t>
  </si>
  <si>
    <t xml:space="preserve">Price / Share ($)</t>
  </si>
  <si>
    <t xml:space="preserve">Equity Value ($m)</t>
  </si>
  <si>
    <t xml:space="preserve">Net Debt ($m)</t>
  </si>
  <si>
    <t xml:space="preserve">Enterprise Value ($m)</t>
  </si>
  <si>
    <t xml:space="preserve">EV / TTM EBITDA</t>
  </si>
  <si>
    <t xml:space="preserve">Premium to Pre-Approach</t>
  </si>
  <si>
    <t xml:space="preserve">Pre-approach (undisturbed, ~29-Jun-26)</t>
  </si>
  <si>
    <t xml:space="preserve">Reference</t>
  </si>
  <si>
    <t xml:space="preserve">EQT initial proposal (1-Jul-26)</t>
  </si>
  <si>
    <t xml:space="preserve">EQT revised proposal (15/17-Jul-26)</t>
  </si>
  <si>
    <t xml:space="preserve">EQT further revised proposal (26-Jul-26)</t>
  </si>
  <si>
    <t xml:space="preserve">Most recent traded price (27-Jul-26)</t>
  </si>
  <si>
    <t xml:space="preserve">Market price — no binding deal</t>
  </si>
  <si>
    <t xml:space="preserve">Gap: latest rejected bid ($22.50) vs. most recent traded price</t>
  </si>
  <si>
    <t xml:space="preserve">Reading the table: the stock trades at a persistent discount to EQT's most recently rejected $22.50 proposal (implied gap calculated above), which signals the market is pricing in meaningful deal-completion risk rather than assuming a higher bid is imminent — consistent with the proposal being non-binding, conditional on the separate Bain Capital Wealth Management sale completing, and granted only limited (non-exclusive) due diligence access rather than full exclusivity. Net debt is a recent aggregator snapshot rather than a bid-date-specific figure, since Perpetual has not disclosed balance sheet detail at each individual proposal date; treat EV and EV/EBITDA as indicative. This table should be refreshed after the 27 August 2026 FY26 results and any further EQT announcement.</t>
  </si>
  <si>
    <t xml:space="preserve">Wealth Management Divestment — Bain Capital Transaction &amp; Pro-Forma Leverage</t>
  </si>
  <si>
    <t xml:space="preserve">Transaction Terms</t>
  </si>
  <si>
    <t xml:space="preserve">Acquirer</t>
  </si>
  <si>
    <t xml:space="preserve">Bain Capital Private Equity</t>
  </si>
  <si>
    <t xml:space="preserve">Upfront cash consideration ($m)</t>
  </si>
  <si>
    <t xml:space="preserve">Contingent performance earnout, up to ($m)</t>
  </si>
  <si>
    <t xml:space="preserve">Targeted completion</t>
  </si>
  <si>
    <t xml:space="preserve">Conditions</t>
  </si>
  <si>
    <t xml:space="preserve">Regulatory and court approvals; is itself a stated condition of any binding EQT/Perpetual transaction</t>
  </si>
  <si>
    <t xml:space="preserve">Stated rationale (per Perpetual)</t>
  </si>
  <si>
    <t xml:space="preserve">Simplify the business to focus on Asset Management and Corporate Trust; strengthen balance sheet; reduce net debt/EBITDA</t>
  </si>
  <si>
    <t xml:space="preserve">Estimated Pro-Forma Leverage Impact (directional — see note)</t>
  </si>
  <si>
    <t xml:space="preserve">Current net debt ($m) — recent TTM snapshot</t>
  </si>
  <si>
    <t xml:space="preserve">Less: Wealth Management upfront proceeds ($m)</t>
  </si>
  <si>
    <t xml:space="preserve">Estimated pro-forma net debt post-sale ($m)</t>
  </si>
  <si>
    <t xml:space="preserve">Management's targeted pro-forma net debt/EBITDA post-sale</t>
  </si>
  <si>
    <t xml:space="preserve">Perpetual has publicly guided to a pro-forma net debt/EBITDA of approximately 0.2x following completion of the Wealth Management sale, reflecting both the $500m upfront proceeds and continued gross debt paydown from the Simplification Program. The pro-forma net debt estimate above is a simplified, directional calculation (current net debt less upfront proceeds only) and does not net off remaining transaction/separation costs (~$30m post-tax over 12-18 months per management guidance), tax leakage (~$45-50m estimated), or the up-to-$100m contingent earnout, which is not guaranteed and would arrive after completion, not at close. It also does not remove Wealth Management's own EBITDA contribution from the group total, so it should not be read as a precise pro-forma EBITDA base — only as a first-order sense check on the leverage mechanics. A rigorous SOTP would require segment-level EBITDA for Asset Management, Corporate Trust and Wealth Management individually, which Perpetual has not disclosed at that granularity in the sources reviewed.</t>
  </si>
</sst>
</file>

<file path=xl/styles.xml><?xml version="1.0" encoding="utf-8"?>
<styleSheet xmlns="http://schemas.openxmlformats.org/spreadsheetml/2006/main">
  <numFmts count="7">
    <numFmt numFmtId="164" formatCode="General"/>
    <numFmt numFmtId="165" formatCode="\$#,##0.00;&quot;($&quot;#,##0.00\);\-"/>
    <numFmt numFmtId="166" formatCode="\$#,##0;&quot;($&quot;#,##0\);\-"/>
    <numFmt numFmtId="167" formatCode="\$#,##0.0&quot;tn&quot;"/>
    <numFmt numFmtId="168" formatCode="#,##0.000"/>
    <numFmt numFmtId="169" formatCode="0.0%;\(0.0%\);\-"/>
    <numFmt numFmtId="170" formatCode="0.0\x"/>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C00000"/>
      <name val="Arial"/>
      <family val="0"/>
      <charset val="1"/>
    </font>
    <font>
      <i val="true"/>
      <sz val="8"/>
      <color rgb="FF808080"/>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
      <sz val="10"/>
      <color rgb="FF000000"/>
      <name val="Arial"/>
      <family val="0"/>
      <charset val="1"/>
    </font>
  </fonts>
  <fills count="7">
    <fill>
      <patternFill patternType="none"/>
    </fill>
    <fill>
      <patternFill patternType="gray125"/>
    </fill>
    <fill>
      <patternFill patternType="solid">
        <fgColor rgb="FF7B3F00"/>
        <bgColor rgb="FFA0522D"/>
      </patternFill>
    </fill>
    <fill>
      <patternFill patternType="solid">
        <fgColor rgb="FFFFF2CC"/>
        <bgColor rgb="FFF2E1D2"/>
      </patternFill>
    </fill>
    <fill>
      <patternFill patternType="solid">
        <fgColor rgb="FFA0522D"/>
        <bgColor rgb="FF7B3F00"/>
      </patternFill>
    </fill>
    <fill>
      <patternFill patternType="solid">
        <fgColor rgb="FFF2E1D2"/>
        <bgColor rgb="FFFFF2CC"/>
      </patternFill>
    </fill>
    <fill>
      <patternFill patternType="solid">
        <fgColor rgb="FFFFFF00"/>
        <bgColor rgb="FFFFFF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8" fontId="10" fillId="6"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6" fontId="10" fillId="6" borderId="1" xfId="0" applyFont="true" applyBorder="tru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70" fontId="12" fillId="0" borderId="1" xfId="0" applyFont="true" applyBorder="tru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70" fontId="10"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A0522D"/>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E1D2"/>
      <rgbColor rgb="FF3366FF"/>
      <rgbColor rgb="FF33CCCC"/>
      <rgbColor rgb="FF99CC00"/>
      <rgbColor rgb="FFFFCC00"/>
      <rgbColor rgb="FFFF9900"/>
      <rgbColor rgb="FFFF6600"/>
      <rgbColor rgb="FF666699"/>
      <rgbColor rgb="FF969696"/>
      <rgbColor rgb="FF003366"/>
      <rgbColor rgb="FF339966"/>
      <rgbColor rgb="FF003300"/>
      <rgbColor rgb="FF333300"/>
      <rgbColor rgb="FF7B3F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6" min="3" style="0" width="16"/>
  </cols>
  <sheetData>
    <row r="1" customFormat="false" ht="21.75" hidden="false" customHeight="true" outlineLevel="0" collapsed="false">
      <c r="A1" s="1" t="s">
        <v>0</v>
      </c>
      <c r="B1" s="1"/>
      <c r="C1" s="1"/>
      <c r="D1" s="1"/>
      <c r="E1" s="1"/>
      <c r="F1" s="1"/>
    </row>
    <row r="3" customFormat="false" ht="15" hidden="false" customHeight="false" outlineLevel="0" collapsed="false">
      <c r="A3" s="2" t="s">
        <v>1</v>
      </c>
      <c r="B3" s="2"/>
      <c r="C3" s="2"/>
      <c r="D3" s="2"/>
      <c r="E3" s="2"/>
      <c r="F3" s="2"/>
    </row>
    <row r="5" customFormat="false" ht="15" hidden="false" customHeight="false" outlineLevel="0" collapsed="false">
      <c r="A5" s="3" t="s">
        <v>2</v>
      </c>
      <c r="B5" s="3"/>
      <c r="C5" s="3"/>
      <c r="D5" s="3"/>
      <c r="E5" s="3"/>
      <c r="F5" s="3"/>
    </row>
    <row r="7" customFormat="false" ht="15" hidden="false" customHeight="false" outlineLevel="0" collapsed="false">
      <c r="A7" s="4" t="s">
        <v>3</v>
      </c>
    </row>
    <row r="8" customFormat="false" ht="15" hidden="false" customHeight="true" outlineLevel="0" collapsed="false">
      <c r="A8" s="5" t="s">
        <v>4</v>
      </c>
      <c r="B8" s="5"/>
      <c r="C8" s="5"/>
      <c r="D8" s="5"/>
      <c r="E8" s="5"/>
      <c r="F8" s="5"/>
    </row>
    <row r="9" customFormat="false" ht="15" hidden="false" customHeight="false" outlineLevel="0" collapsed="false">
      <c r="A9" s="5"/>
      <c r="B9" s="5"/>
      <c r="C9" s="5"/>
      <c r="D9" s="5"/>
      <c r="E9" s="5"/>
      <c r="F9" s="5"/>
    </row>
    <row r="10" customFormat="false" ht="15" hidden="false" customHeight="false" outlineLevel="0" collapsed="false">
      <c r="A10" s="5"/>
      <c r="B10" s="5"/>
      <c r="C10" s="5"/>
      <c r="D10" s="5"/>
      <c r="E10" s="5"/>
      <c r="F10" s="5"/>
    </row>
    <row r="11" customFormat="false" ht="15" hidden="false" customHeight="false" outlineLevel="0" collapsed="false">
      <c r="A11" s="5"/>
      <c r="B11" s="5"/>
      <c r="C11" s="5"/>
      <c r="D11" s="5"/>
      <c r="E11" s="5"/>
      <c r="F11" s="5"/>
    </row>
    <row r="12" customFormat="false" ht="15" hidden="false" customHeight="false" outlineLevel="0" collapsed="false">
      <c r="A12" s="5"/>
      <c r="B12" s="5"/>
      <c r="C12" s="5"/>
      <c r="D12" s="5"/>
      <c r="E12" s="5"/>
      <c r="F12" s="5"/>
    </row>
    <row r="14" customFormat="false" ht="15" hidden="false" customHeight="false" outlineLevel="0" collapsed="false">
      <c r="A14" s="4" t="s">
        <v>5</v>
      </c>
    </row>
    <row r="15" customFormat="false" ht="15" hidden="false" customHeight="false" outlineLevel="0" collapsed="false">
      <c r="A15" s="6" t="s">
        <v>6</v>
      </c>
      <c r="B15" s="7" t="s">
        <v>7</v>
      </c>
      <c r="C15" s="7"/>
      <c r="D15" s="7"/>
      <c r="E15" s="7"/>
      <c r="F15" s="7"/>
    </row>
    <row r="16" customFormat="false" ht="15" hidden="false" customHeight="false" outlineLevel="0" collapsed="false">
      <c r="A16" s="6" t="s">
        <v>8</v>
      </c>
      <c r="B16" s="7" t="s">
        <v>9</v>
      </c>
      <c r="C16" s="7"/>
      <c r="D16" s="7"/>
      <c r="E16" s="7"/>
      <c r="F16" s="7"/>
    </row>
    <row r="17" customFormat="false" ht="15" hidden="false" customHeight="false" outlineLevel="0" collapsed="false">
      <c r="A17" s="6" t="s">
        <v>10</v>
      </c>
      <c r="B17" s="7" t="s">
        <v>11</v>
      </c>
      <c r="C17" s="7"/>
      <c r="D17" s="7"/>
      <c r="E17" s="7"/>
      <c r="F17" s="7"/>
    </row>
    <row r="18" customFormat="false" ht="15" hidden="false" customHeight="false" outlineLevel="0" collapsed="false">
      <c r="A18" s="6" t="s">
        <v>12</v>
      </c>
      <c r="B18" s="7" t="s">
        <v>13</v>
      </c>
      <c r="C18" s="7"/>
      <c r="D18" s="7"/>
      <c r="E18" s="7"/>
      <c r="F18" s="7"/>
    </row>
    <row r="20" customFormat="false" ht="15" hidden="false" customHeight="false" outlineLevel="0" collapsed="false">
      <c r="A20" s="4" t="s">
        <v>14</v>
      </c>
    </row>
    <row r="21" customFormat="false" ht="15" hidden="false" customHeight="false" outlineLevel="0" collapsed="false">
      <c r="A21" s="3" t="s">
        <v>15</v>
      </c>
      <c r="B21" s="3"/>
      <c r="C21" s="3"/>
      <c r="D21" s="3"/>
      <c r="E21" s="3"/>
      <c r="F21" s="3"/>
    </row>
    <row r="22" customFormat="false" ht="15" hidden="false" customHeight="false" outlineLevel="0" collapsed="false">
      <c r="A22" s="3" t="s">
        <v>16</v>
      </c>
      <c r="B22" s="3"/>
      <c r="C22" s="3"/>
      <c r="D22" s="3"/>
      <c r="E22" s="3"/>
      <c r="F22" s="3"/>
    </row>
    <row r="23" customFormat="false" ht="15" hidden="false" customHeight="false" outlineLevel="0" collapsed="false">
      <c r="A23" s="3" t="s">
        <v>17</v>
      </c>
      <c r="B23" s="3"/>
      <c r="C23" s="3"/>
      <c r="D23" s="3"/>
      <c r="E23" s="3"/>
      <c r="F23" s="3"/>
    </row>
    <row r="24" customFormat="false" ht="15" hidden="false" customHeight="false" outlineLevel="0" collapsed="false">
      <c r="A24" s="3" t="s">
        <v>18</v>
      </c>
      <c r="B24" s="3"/>
      <c r="C24" s="3"/>
      <c r="D24" s="3"/>
      <c r="E24" s="3"/>
      <c r="F24" s="3"/>
    </row>
    <row r="25" customFormat="false" ht="15" hidden="false" customHeight="false" outlineLevel="0" collapsed="false">
      <c r="A25" s="3" t="s">
        <v>19</v>
      </c>
      <c r="B25" s="3"/>
      <c r="C25" s="3"/>
      <c r="D25" s="3"/>
      <c r="E25" s="3"/>
      <c r="F25" s="3"/>
    </row>
    <row r="26" customFormat="false" ht="15" hidden="false" customHeight="false" outlineLevel="0" collapsed="false">
      <c r="A26" s="3" t="s">
        <v>20</v>
      </c>
      <c r="B26" s="3"/>
      <c r="C26" s="3"/>
      <c r="D26" s="3"/>
      <c r="E26" s="3"/>
      <c r="F26" s="3"/>
    </row>
    <row r="27" customFormat="false" ht="15" hidden="false" customHeight="false" outlineLevel="0" collapsed="false">
      <c r="A27" s="3" t="s">
        <v>21</v>
      </c>
      <c r="B27" s="3"/>
      <c r="C27" s="3"/>
      <c r="D27" s="3"/>
      <c r="E27" s="3"/>
      <c r="F27" s="3"/>
    </row>
    <row r="28" customFormat="false" ht="15" hidden="false" customHeight="false" outlineLevel="0" collapsed="false">
      <c r="A28" s="3" t="s">
        <v>22</v>
      </c>
      <c r="B28" s="3"/>
      <c r="C28" s="3"/>
      <c r="D28" s="3"/>
      <c r="E28" s="3"/>
      <c r="F28" s="3"/>
    </row>
    <row r="30" customFormat="false" ht="15" hidden="false" customHeight="true" outlineLevel="0" collapsed="false">
      <c r="A30" s="8" t="s">
        <v>23</v>
      </c>
      <c r="B30" s="8"/>
      <c r="C30" s="8"/>
      <c r="D30" s="8"/>
      <c r="E30" s="8"/>
      <c r="F30" s="8"/>
    </row>
    <row r="31" customFormat="false" ht="15" hidden="false" customHeight="false" outlineLevel="0" collapsed="false">
      <c r="A31" s="8"/>
      <c r="B31" s="8"/>
      <c r="C31" s="8"/>
      <c r="D31" s="8"/>
      <c r="E31" s="8"/>
      <c r="F31" s="8"/>
    </row>
    <row r="32" customFormat="false" ht="15" hidden="false" customHeight="false" outlineLevel="0" collapsed="false">
      <c r="A32" s="8"/>
      <c r="B32" s="8"/>
      <c r="C32" s="8"/>
      <c r="D32" s="8"/>
      <c r="E32" s="8"/>
      <c r="F32" s="8"/>
    </row>
    <row r="33" customFormat="false" ht="15" hidden="false" customHeight="false" outlineLevel="0" collapsed="false">
      <c r="A33" s="8"/>
      <c r="B33" s="8"/>
      <c r="C33" s="8"/>
      <c r="D33" s="8"/>
      <c r="E33" s="8"/>
      <c r="F33" s="8"/>
    </row>
  </sheetData>
  <mergeCells count="17">
    <mergeCell ref="A1:F1"/>
    <mergeCell ref="A3:F3"/>
    <mergeCell ref="A5:F5"/>
    <mergeCell ref="A8:F12"/>
    <mergeCell ref="B15:F15"/>
    <mergeCell ref="B16:F16"/>
    <mergeCell ref="B17:F17"/>
    <mergeCell ref="B18:F18"/>
    <mergeCell ref="A21:F21"/>
    <mergeCell ref="A22:F22"/>
    <mergeCell ref="A23:F23"/>
    <mergeCell ref="A24:F24"/>
    <mergeCell ref="A25:F25"/>
    <mergeCell ref="A26:F26"/>
    <mergeCell ref="A27:F27"/>
    <mergeCell ref="A28:F28"/>
    <mergeCell ref="A30: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0"/>
    <col collapsed="false" customWidth="true" hidden="false" outlineLevel="0" max="3" min="3" style="0" width="22"/>
    <col collapsed="false" customWidth="true" hidden="false" outlineLevel="0" max="4" min="4" style="0" width="14"/>
    <col collapsed="false" customWidth="true" hidden="false" outlineLevel="0" max="5" min="5" style="0" width="26"/>
  </cols>
  <sheetData>
    <row r="1" customFormat="false" ht="21.75" hidden="false" customHeight="true" outlineLevel="0" collapsed="false">
      <c r="A1" s="1" t="s">
        <v>24</v>
      </c>
      <c r="B1" s="1"/>
      <c r="C1" s="1"/>
      <c r="D1" s="1"/>
      <c r="E1" s="1"/>
    </row>
    <row r="3" customFormat="false" ht="15" hidden="false" customHeight="false" outlineLevel="0" collapsed="false">
      <c r="A3" s="9" t="s">
        <v>25</v>
      </c>
      <c r="B3" s="9" t="s">
        <v>26</v>
      </c>
      <c r="C3" s="9" t="s">
        <v>27</v>
      </c>
      <c r="D3" s="9" t="s">
        <v>28</v>
      </c>
      <c r="E3" s="9" t="s">
        <v>29</v>
      </c>
    </row>
    <row r="4" customFormat="false" ht="42" hidden="false" customHeight="true" outlineLevel="0" collapsed="false">
      <c r="A4" s="10" t="s">
        <v>30</v>
      </c>
      <c r="B4" s="10" t="s">
        <v>31</v>
      </c>
      <c r="C4" s="10" t="s">
        <v>32</v>
      </c>
      <c r="D4" s="11"/>
      <c r="E4" s="10" t="s">
        <v>33</v>
      </c>
    </row>
    <row r="5" customFormat="false" ht="42" hidden="false" customHeight="true" outlineLevel="0" collapsed="false">
      <c r="A5" s="10" t="s">
        <v>34</v>
      </c>
      <c r="B5" s="10" t="s">
        <v>35</v>
      </c>
      <c r="C5" s="10" t="s">
        <v>36</v>
      </c>
      <c r="D5" s="11"/>
      <c r="E5" s="10" t="s">
        <v>37</v>
      </c>
    </row>
    <row r="6" customFormat="false" ht="42" hidden="false" customHeight="true" outlineLevel="0" collapsed="false">
      <c r="A6" s="10" t="s">
        <v>38</v>
      </c>
      <c r="B6" s="10" t="s">
        <v>39</v>
      </c>
      <c r="C6" s="10" t="s">
        <v>40</v>
      </c>
      <c r="D6" s="11"/>
      <c r="E6" s="10" t="s">
        <v>41</v>
      </c>
    </row>
    <row r="7" customFormat="false" ht="42" hidden="false" customHeight="true" outlineLevel="0" collapsed="false">
      <c r="A7" s="10" t="s">
        <v>42</v>
      </c>
      <c r="B7" s="10" t="s">
        <v>43</v>
      </c>
      <c r="C7" s="10" t="s">
        <v>40</v>
      </c>
      <c r="D7" s="11"/>
      <c r="E7" s="10" t="s">
        <v>44</v>
      </c>
    </row>
    <row r="8" customFormat="false" ht="42" hidden="false" customHeight="true" outlineLevel="0" collapsed="false">
      <c r="A8" s="10" t="s">
        <v>45</v>
      </c>
      <c r="B8" s="10" t="s">
        <v>46</v>
      </c>
      <c r="C8" s="10" t="s">
        <v>40</v>
      </c>
      <c r="D8" s="11"/>
      <c r="E8" s="10" t="s">
        <v>47</v>
      </c>
    </row>
    <row r="9" customFormat="false" ht="42" hidden="false" customHeight="true" outlineLevel="0" collapsed="false">
      <c r="A9" s="10" t="s">
        <v>48</v>
      </c>
      <c r="B9" s="10" t="s">
        <v>49</v>
      </c>
      <c r="C9" s="10" t="s">
        <v>50</v>
      </c>
      <c r="D9" s="11"/>
      <c r="E9" s="10" t="s">
        <v>51</v>
      </c>
    </row>
    <row r="10" customFormat="false" ht="42" hidden="false" customHeight="true" outlineLevel="0" collapsed="false">
      <c r="A10" s="10" t="s">
        <v>52</v>
      </c>
      <c r="B10" s="10" t="s">
        <v>53</v>
      </c>
      <c r="C10" s="10" t="s">
        <v>40</v>
      </c>
      <c r="D10" s="11" t="n">
        <v>15.5</v>
      </c>
      <c r="E10" s="10" t="s">
        <v>54</v>
      </c>
    </row>
    <row r="11" customFormat="false" ht="42" hidden="false" customHeight="true" outlineLevel="0" collapsed="false">
      <c r="A11" s="10" t="s">
        <v>55</v>
      </c>
      <c r="B11" s="10" t="s">
        <v>56</v>
      </c>
      <c r="C11" s="10" t="s">
        <v>57</v>
      </c>
      <c r="D11" s="11"/>
      <c r="E11" s="10" t="s">
        <v>58</v>
      </c>
    </row>
    <row r="12" customFormat="false" ht="42" hidden="false" customHeight="true" outlineLevel="0" collapsed="false">
      <c r="A12" s="10" t="s">
        <v>55</v>
      </c>
      <c r="B12" s="10" t="s">
        <v>59</v>
      </c>
      <c r="C12" s="10" t="s">
        <v>60</v>
      </c>
      <c r="D12" s="11" t="n">
        <v>21.64</v>
      </c>
      <c r="E12" s="10" t="s">
        <v>61</v>
      </c>
    </row>
    <row r="13" customFormat="false" ht="42" hidden="false" customHeight="true" outlineLevel="0" collapsed="false">
      <c r="A13" s="10" t="s">
        <v>62</v>
      </c>
      <c r="B13" s="10" t="s">
        <v>63</v>
      </c>
      <c r="C13" s="10" t="s">
        <v>60</v>
      </c>
      <c r="D13" s="11" t="n">
        <v>22.07</v>
      </c>
      <c r="E13" s="10" t="s">
        <v>61</v>
      </c>
    </row>
    <row r="14" customFormat="false" ht="42" hidden="false" customHeight="true" outlineLevel="0" collapsed="false">
      <c r="A14" s="10" t="s">
        <v>64</v>
      </c>
      <c r="B14" s="10" t="s">
        <v>65</v>
      </c>
      <c r="C14" s="10" t="s">
        <v>60</v>
      </c>
      <c r="D14" s="11" t="n">
        <v>22.5</v>
      </c>
      <c r="E14" s="10" t="s">
        <v>66</v>
      </c>
    </row>
    <row r="15" customFormat="false" ht="42" hidden="false" customHeight="true" outlineLevel="0" collapsed="false">
      <c r="A15" s="10" t="s">
        <v>67</v>
      </c>
      <c r="B15" s="10" t="s">
        <v>68</v>
      </c>
      <c r="C15" s="10" t="s">
        <v>60</v>
      </c>
      <c r="D15" s="11" t="n">
        <v>22.5</v>
      </c>
      <c r="E15" s="10" t="s">
        <v>69</v>
      </c>
    </row>
    <row r="16" customFormat="false" ht="42" hidden="false" customHeight="true" outlineLevel="0" collapsed="false">
      <c r="A16" s="10" t="s">
        <v>70</v>
      </c>
      <c r="B16" s="10" t="s">
        <v>71</v>
      </c>
      <c r="C16" s="10" t="s">
        <v>40</v>
      </c>
      <c r="D16" s="11"/>
      <c r="E16" s="10" t="s">
        <v>72</v>
      </c>
    </row>
    <row r="17" customFormat="false" ht="42" hidden="false" customHeight="true" outlineLevel="0" collapsed="false">
      <c r="A17" s="10" t="s">
        <v>73</v>
      </c>
      <c r="B17" s="10" t="s">
        <v>74</v>
      </c>
      <c r="C17" s="10" t="s">
        <v>50</v>
      </c>
      <c r="D17" s="11"/>
      <c r="E17" s="10" t="s">
        <v>75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4" min="4" style="0" width="18"/>
    <col collapsed="false" customWidth="true" hidden="false" outlineLevel="0" max="6" min="5" style="0" width="14"/>
  </cols>
  <sheetData>
    <row r="1" customFormat="false" ht="21.75" hidden="false" customHeight="true" outlineLevel="0" collapsed="false">
      <c r="A1" s="1" t="s">
        <v>76</v>
      </c>
      <c r="B1" s="1"/>
      <c r="C1" s="1"/>
      <c r="D1" s="1"/>
      <c r="E1" s="1"/>
      <c r="F1" s="1"/>
    </row>
    <row r="3" customFormat="false" ht="15" hidden="false" customHeight="false" outlineLevel="0" collapsed="false">
      <c r="A3" s="9" t="s">
        <v>77</v>
      </c>
      <c r="B3" s="9" t="s">
        <v>78</v>
      </c>
      <c r="C3" s="9" t="s">
        <v>79</v>
      </c>
      <c r="D3" s="9" t="s">
        <v>80</v>
      </c>
      <c r="E3" s="9" t="s">
        <v>81</v>
      </c>
    </row>
    <row r="4" customFormat="false" ht="15" hidden="false" customHeight="false" outlineLevel="0" collapsed="false">
      <c r="A4" s="12" t="s">
        <v>82</v>
      </c>
      <c r="B4" s="13" t="n">
        <v>1360</v>
      </c>
      <c r="C4" s="13" t="n">
        <v>1373</v>
      </c>
      <c r="D4" s="13" t="n">
        <v>697.9</v>
      </c>
      <c r="E4" s="13" t="n">
        <v>1400</v>
      </c>
    </row>
    <row r="5" customFormat="false" ht="15" hidden="false" customHeight="false" outlineLevel="0" collapsed="false">
      <c r="A5" s="12" t="s">
        <v>83</v>
      </c>
      <c r="B5" s="13"/>
      <c r="C5" s="13"/>
      <c r="D5" s="13" t="n">
        <v>205.6</v>
      </c>
      <c r="E5" s="13" t="n">
        <v>363.1</v>
      </c>
    </row>
    <row r="6" customFormat="false" ht="15" hidden="false" customHeight="false" outlineLevel="0" collapsed="false">
      <c r="A6" s="12" t="s">
        <v>84</v>
      </c>
      <c r="B6" s="13" t="n">
        <v>206.1</v>
      </c>
      <c r="C6" s="13" t="n">
        <v>204.1</v>
      </c>
      <c r="D6" s="13"/>
      <c r="E6" s="13"/>
    </row>
    <row r="7" customFormat="false" ht="15" hidden="false" customHeight="false" outlineLevel="0" collapsed="false">
      <c r="A7" s="12" t="s">
        <v>85</v>
      </c>
      <c r="B7" s="13" t="n">
        <v>-472.2</v>
      </c>
      <c r="C7" s="13" t="n">
        <v>-58.2</v>
      </c>
      <c r="D7" s="13" t="n">
        <v>53.9</v>
      </c>
      <c r="E7" s="13" t="n">
        <v>-16.3</v>
      </c>
    </row>
    <row r="9" customFormat="false" ht="15" hidden="false" customHeight="false" outlineLevel="0" collapsed="false">
      <c r="A9" s="14" t="s">
        <v>86</v>
      </c>
      <c r="B9" s="14"/>
      <c r="C9" s="14"/>
      <c r="D9" s="14"/>
      <c r="E9" s="14"/>
      <c r="F9" s="14"/>
    </row>
    <row r="10" customFormat="false" ht="15" hidden="false" customHeight="false" outlineLevel="0" collapsed="false">
      <c r="A10" s="9" t="s">
        <v>87</v>
      </c>
      <c r="B10" s="9" t="s">
        <v>88</v>
      </c>
      <c r="C10" s="9" t="s">
        <v>89</v>
      </c>
      <c r="D10" s="9"/>
      <c r="E10" s="9"/>
      <c r="F10" s="9"/>
    </row>
    <row r="11" customFormat="false" ht="15" hidden="false" customHeight="false" outlineLevel="0" collapsed="false">
      <c r="A11" s="15" t="s">
        <v>90</v>
      </c>
      <c r="B11" s="13" t="n">
        <v>226.8</v>
      </c>
      <c r="C11" s="13" t="n">
        <v>219.2</v>
      </c>
    </row>
    <row r="12" customFormat="false" ht="15" hidden="false" customHeight="false" outlineLevel="0" collapsed="false">
      <c r="A12" s="15" t="s">
        <v>91</v>
      </c>
      <c r="B12" s="16"/>
      <c r="C12" s="17" t="n">
        <v>1.3</v>
      </c>
    </row>
    <row r="14" customFormat="false" ht="15" hidden="false" customHeight="false" outlineLevel="0" collapsed="false">
      <c r="A14" s="14" t="s">
        <v>92</v>
      </c>
      <c r="B14" s="14"/>
      <c r="C14" s="14"/>
      <c r="D14" s="14"/>
      <c r="E14" s="14"/>
      <c r="F14" s="14"/>
    </row>
    <row r="15" customFormat="false" ht="15" hidden="false" customHeight="false" outlineLevel="0" collapsed="false">
      <c r="A15" s="15" t="s">
        <v>93</v>
      </c>
      <c r="B15" s="13" t="n">
        <v>738.5</v>
      </c>
    </row>
    <row r="16" customFormat="false" ht="15" hidden="false" customHeight="false" outlineLevel="0" collapsed="false">
      <c r="A16" s="15" t="s">
        <v>94</v>
      </c>
      <c r="B16" s="18" t="n">
        <v>112.888</v>
      </c>
    </row>
    <row r="17" customFormat="false" ht="15" hidden="false" customHeight="false" outlineLevel="0" collapsed="false">
      <c r="A17" s="15" t="s">
        <v>95</v>
      </c>
      <c r="B17" s="13" t="n">
        <v>1.15</v>
      </c>
    </row>
    <row r="18" customFormat="false" ht="15" hidden="false" customHeight="false" outlineLevel="0" collapsed="false">
      <c r="A18" s="15" t="s">
        <v>96</v>
      </c>
      <c r="B18" s="19" t="n">
        <v>0.65</v>
      </c>
    </row>
    <row r="20" customFormat="false" ht="15" hidden="false" customHeight="true" outlineLevel="0" collapsed="false">
      <c r="A20" s="8" t="s">
        <v>97</v>
      </c>
      <c r="B20" s="8"/>
      <c r="C20" s="8"/>
      <c r="D20" s="8"/>
      <c r="E20" s="8"/>
      <c r="F20" s="8"/>
    </row>
    <row r="21" customFormat="false" ht="15" hidden="false" customHeight="false" outlineLevel="0" collapsed="false">
      <c r="A21" s="8"/>
      <c r="B21" s="8"/>
      <c r="C21" s="8"/>
      <c r="D21" s="8"/>
      <c r="E21" s="8"/>
      <c r="F21" s="8"/>
    </row>
    <row r="22" customFormat="false" ht="15" hidden="false" customHeight="false" outlineLevel="0" collapsed="false">
      <c r="A22" s="8"/>
      <c r="B22" s="8"/>
      <c r="C22" s="8"/>
      <c r="D22" s="8"/>
      <c r="E22" s="8"/>
      <c r="F22" s="8"/>
    </row>
    <row r="23" customFormat="false" ht="15" hidden="false" customHeight="false" outlineLevel="0" collapsed="false">
      <c r="A23" s="8"/>
      <c r="B23" s="8"/>
      <c r="C23" s="8"/>
      <c r="D23" s="8"/>
      <c r="E23" s="8"/>
      <c r="F23" s="8"/>
    </row>
  </sheetData>
  <mergeCells count="4">
    <mergeCell ref="A1:F1"/>
    <mergeCell ref="A9:F9"/>
    <mergeCell ref="A14:F14"/>
    <mergeCell ref="A20: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4"/>
    <col collapsed="false" customWidth="true" hidden="false" outlineLevel="0" max="3" min="3" style="0" width="16"/>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16"/>
    <col collapsed="false" customWidth="true" hidden="false" outlineLevel="0" max="8" min="8" style="0" width="24"/>
  </cols>
  <sheetData>
    <row r="1" customFormat="false" ht="21.75" hidden="false" customHeight="true" outlineLevel="0" collapsed="false">
      <c r="A1" s="1" t="s">
        <v>98</v>
      </c>
      <c r="B1" s="1"/>
      <c r="C1" s="1"/>
      <c r="D1" s="1"/>
      <c r="E1" s="1"/>
      <c r="F1" s="1"/>
      <c r="G1" s="1"/>
      <c r="H1" s="1"/>
    </row>
    <row r="3" customFormat="false" ht="15" hidden="false" customHeight="false" outlineLevel="0" collapsed="false">
      <c r="A3" s="14" t="s">
        <v>99</v>
      </c>
      <c r="B3" s="14"/>
      <c r="C3" s="14"/>
      <c r="D3" s="14"/>
      <c r="E3" s="14"/>
      <c r="F3" s="14"/>
      <c r="G3" s="14"/>
      <c r="H3" s="14"/>
    </row>
    <row r="4" customFormat="false" ht="15" hidden="false" customHeight="false" outlineLevel="0" collapsed="false">
      <c r="A4" s="15" t="s">
        <v>100</v>
      </c>
      <c r="B4" s="20" t="n">
        <v>112.888</v>
      </c>
    </row>
    <row r="5" customFormat="false" ht="15" hidden="false" customHeight="false" outlineLevel="0" collapsed="false">
      <c r="A5" s="15" t="s">
        <v>101</v>
      </c>
      <c r="B5" s="21" t="n">
        <f aca="false">'Financial Summary'!E5</f>
        <v>363.1</v>
      </c>
    </row>
    <row r="6" customFormat="false" ht="15" hidden="false" customHeight="false" outlineLevel="0" collapsed="false">
      <c r="A6" s="15" t="s">
        <v>102</v>
      </c>
      <c r="B6" s="22" t="n">
        <v>583.4</v>
      </c>
    </row>
    <row r="7" customFormat="false" ht="15" hidden="false" customHeight="false" outlineLevel="0" collapsed="false">
      <c r="A7" s="15" t="s">
        <v>103</v>
      </c>
      <c r="B7" s="23" t="n">
        <v>15.5</v>
      </c>
    </row>
    <row r="8" customFormat="false" ht="15" hidden="false" customHeight="false" outlineLevel="0" collapsed="false">
      <c r="A8" s="15" t="s">
        <v>104</v>
      </c>
      <c r="B8" s="23" t="n">
        <v>19.5</v>
      </c>
    </row>
    <row r="10" customFormat="false" ht="23.85" hidden="false" customHeight="false" outlineLevel="0" collapsed="false">
      <c r="A10" s="9" t="s">
        <v>105</v>
      </c>
      <c r="B10" s="9" t="s">
        <v>106</v>
      </c>
      <c r="C10" s="9" t="s">
        <v>107</v>
      </c>
      <c r="D10" s="9" t="s">
        <v>108</v>
      </c>
      <c r="E10" s="9" t="s">
        <v>109</v>
      </c>
      <c r="F10" s="9" t="s">
        <v>110</v>
      </c>
      <c r="G10" s="9" t="s">
        <v>111</v>
      </c>
      <c r="H10" s="9" t="s">
        <v>29</v>
      </c>
    </row>
    <row r="11" customFormat="false" ht="30" hidden="false" customHeight="true" outlineLevel="0" collapsed="false">
      <c r="A11" s="24" t="s">
        <v>112</v>
      </c>
      <c r="B11" s="25" t="n">
        <v>15.5</v>
      </c>
      <c r="C11" s="26" t="n">
        <f aca="false">B11*$B$4</f>
        <v>1749.764</v>
      </c>
      <c r="D11" s="26" t="n">
        <f aca="false">$B$6</f>
        <v>583.4</v>
      </c>
      <c r="E11" s="26" t="n">
        <f aca="false">C11+D11</f>
        <v>2333.164</v>
      </c>
      <c r="F11" s="27" t="n">
        <f aca="false">E11/$B$5</f>
        <v>6.42567887634261</v>
      </c>
      <c r="G11" s="28" t="n">
        <f aca="false">B11/$B$7-1</f>
        <v>0</v>
      </c>
      <c r="H11" s="24" t="s">
        <v>113</v>
      </c>
    </row>
    <row r="12" customFormat="false" ht="30" hidden="false" customHeight="true" outlineLevel="0" collapsed="false">
      <c r="A12" s="24" t="s">
        <v>114</v>
      </c>
      <c r="B12" s="25" t="n">
        <v>21.64</v>
      </c>
      <c r="C12" s="26" t="n">
        <f aca="false">B12*$B$4</f>
        <v>2442.89632</v>
      </c>
      <c r="D12" s="26" t="n">
        <f aca="false">$B$6</f>
        <v>583.4</v>
      </c>
      <c r="E12" s="26" t="n">
        <f aca="false">C12+D12</f>
        <v>3026.29632</v>
      </c>
      <c r="F12" s="27" t="n">
        <f aca="false">E12/$B$5</f>
        <v>8.33460842743046</v>
      </c>
      <c r="G12" s="28" t="n">
        <f aca="false">B12/$B$7-1</f>
        <v>0.396129032258065</v>
      </c>
      <c r="H12" s="24" t="s">
        <v>61</v>
      </c>
    </row>
    <row r="13" customFormat="false" ht="30" hidden="false" customHeight="true" outlineLevel="0" collapsed="false">
      <c r="A13" s="24" t="s">
        <v>115</v>
      </c>
      <c r="B13" s="25" t="n">
        <v>22.07</v>
      </c>
      <c r="C13" s="26" t="n">
        <f aca="false">B13*$B$4</f>
        <v>2491.43816</v>
      </c>
      <c r="D13" s="26" t="n">
        <f aca="false">$B$6</f>
        <v>583.4</v>
      </c>
      <c r="E13" s="26" t="n">
        <f aca="false">C13+D13</f>
        <v>3074.83816</v>
      </c>
      <c r="F13" s="27" t="n">
        <f aca="false">E13/$B$5</f>
        <v>8.46829567612228</v>
      </c>
      <c r="G13" s="28" t="n">
        <f aca="false">B13/$B$7-1</f>
        <v>0.423870967741935</v>
      </c>
      <c r="H13" s="24" t="s">
        <v>61</v>
      </c>
    </row>
    <row r="14" customFormat="false" ht="30" hidden="false" customHeight="true" outlineLevel="0" collapsed="false">
      <c r="A14" s="24" t="s">
        <v>116</v>
      </c>
      <c r="B14" s="25" t="n">
        <v>22.5</v>
      </c>
      <c r="C14" s="26" t="n">
        <f aca="false">B14*$B$4</f>
        <v>2539.98</v>
      </c>
      <c r="D14" s="26" t="n">
        <f aca="false">$B$6</f>
        <v>583.4</v>
      </c>
      <c r="E14" s="26" t="n">
        <f aca="false">C14+D14</f>
        <v>3123.38</v>
      </c>
      <c r="F14" s="27" t="n">
        <f aca="false">E14/$B$5</f>
        <v>8.6019829248141</v>
      </c>
      <c r="G14" s="28" t="n">
        <f aca="false">B14/$B$7-1</f>
        <v>0.451612903225807</v>
      </c>
      <c r="H14" s="24" t="s">
        <v>69</v>
      </c>
    </row>
    <row r="15" customFormat="false" ht="30" hidden="false" customHeight="true" outlineLevel="0" collapsed="false">
      <c r="A15" s="24" t="s">
        <v>117</v>
      </c>
      <c r="B15" s="25" t="n">
        <v>19.5</v>
      </c>
      <c r="C15" s="26" t="n">
        <f aca="false">B15*$B$4</f>
        <v>2201.316</v>
      </c>
      <c r="D15" s="26" t="n">
        <f aca="false">$B$6</f>
        <v>583.4</v>
      </c>
      <c r="E15" s="26" t="n">
        <f aca="false">C15+D15</f>
        <v>2784.716</v>
      </c>
      <c r="F15" s="27" t="n">
        <f aca="false">E15/$B$5</f>
        <v>7.66928118975489</v>
      </c>
      <c r="G15" s="28" t="n">
        <f aca="false">B15/$B$7-1</f>
        <v>0.258064516129032</v>
      </c>
      <c r="H15" s="24" t="s">
        <v>118</v>
      </c>
    </row>
    <row r="17" customFormat="false" ht="15" hidden="false" customHeight="false" outlineLevel="0" collapsed="false">
      <c r="A17" s="12" t="s">
        <v>119</v>
      </c>
      <c r="B17" s="29" t="n">
        <f aca="false">22.5-B8</f>
        <v>3</v>
      </c>
      <c r="C17" s="28" t="n">
        <f aca="false">B8/22.5-1</f>
        <v>-0.133333333333333</v>
      </c>
    </row>
    <row r="19" customFormat="false" ht="15" hidden="false" customHeight="true" outlineLevel="0" collapsed="false">
      <c r="A19" s="8" t="s">
        <v>120</v>
      </c>
      <c r="B19" s="8"/>
      <c r="C19" s="8"/>
      <c r="D19" s="8"/>
      <c r="E19" s="8"/>
      <c r="F19" s="8"/>
      <c r="G19" s="8"/>
      <c r="H19" s="8"/>
    </row>
    <row r="20" customFormat="false" ht="15" hidden="false" customHeight="false" outlineLevel="0" collapsed="false">
      <c r="A20" s="8"/>
      <c r="B20" s="8"/>
      <c r="C20" s="8"/>
      <c r="D20" s="8"/>
      <c r="E20" s="8"/>
      <c r="F20" s="8"/>
      <c r="G20" s="8"/>
      <c r="H20" s="8"/>
    </row>
    <row r="21" customFormat="false" ht="15" hidden="false" customHeight="false" outlineLevel="0" collapsed="false">
      <c r="A21" s="8"/>
      <c r="B21" s="8"/>
      <c r="C21" s="8"/>
      <c r="D21" s="8"/>
      <c r="E21" s="8"/>
      <c r="F21" s="8"/>
      <c r="G21" s="8"/>
      <c r="H21" s="8"/>
    </row>
    <row r="22" customFormat="false" ht="15" hidden="false" customHeight="false" outlineLevel="0" collapsed="false">
      <c r="A22" s="8"/>
      <c r="B22" s="8"/>
      <c r="C22" s="8"/>
      <c r="D22" s="8"/>
      <c r="E22" s="8"/>
      <c r="F22" s="8"/>
      <c r="G22" s="8"/>
      <c r="H22" s="8"/>
    </row>
    <row r="23" customFormat="false" ht="15" hidden="false" customHeight="false" outlineLevel="0" collapsed="false">
      <c r="A23" s="8"/>
      <c r="B23" s="8"/>
      <c r="C23" s="8"/>
      <c r="D23" s="8"/>
      <c r="E23" s="8"/>
      <c r="F23" s="8"/>
      <c r="G23" s="8"/>
      <c r="H23" s="8"/>
    </row>
  </sheetData>
  <mergeCells count="3">
    <mergeCell ref="A1:H1"/>
    <mergeCell ref="A3:H3"/>
    <mergeCell ref="A19: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20"/>
    <col collapsed="false" customWidth="true" hidden="false" outlineLevel="0" max="6" min="3" style="0" width="14"/>
  </cols>
  <sheetData>
    <row r="1" customFormat="false" ht="21.75" hidden="false" customHeight="true" outlineLevel="0" collapsed="false">
      <c r="A1" s="1" t="s">
        <v>121</v>
      </c>
      <c r="B1" s="1"/>
      <c r="C1" s="1"/>
      <c r="D1" s="1"/>
      <c r="E1" s="1"/>
      <c r="F1" s="1"/>
    </row>
    <row r="3" customFormat="false" ht="15" hidden="false" customHeight="false" outlineLevel="0" collapsed="false">
      <c r="A3" s="14" t="s">
        <v>122</v>
      </c>
      <c r="B3" s="14"/>
      <c r="C3" s="14"/>
      <c r="D3" s="14"/>
      <c r="E3" s="14"/>
      <c r="F3" s="14"/>
    </row>
    <row r="4" customFormat="false" ht="15" hidden="false" customHeight="false" outlineLevel="0" collapsed="false">
      <c r="A4" s="15" t="s">
        <v>123</v>
      </c>
      <c r="B4" s="15" t="s">
        <v>124</v>
      </c>
      <c r="C4" s="15"/>
      <c r="D4" s="15"/>
      <c r="E4" s="15"/>
      <c r="F4" s="15"/>
    </row>
    <row r="5" customFormat="false" ht="15" hidden="false" customHeight="false" outlineLevel="0" collapsed="false">
      <c r="A5" s="15" t="s">
        <v>125</v>
      </c>
      <c r="B5" s="13" t="n">
        <v>500</v>
      </c>
      <c r="C5" s="13"/>
      <c r="D5" s="13"/>
      <c r="E5" s="13"/>
      <c r="F5" s="13"/>
    </row>
    <row r="6" customFormat="false" ht="15" hidden="false" customHeight="false" outlineLevel="0" collapsed="false">
      <c r="A6" s="15" t="s">
        <v>126</v>
      </c>
      <c r="B6" s="13" t="n">
        <v>100</v>
      </c>
      <c r="C6" s="13"/>
      <c r="D6" s="13"/>
      <c r="E6" s="13"/>
      <c r="F6" s="13"/>
    </row>
    <row r="7" customFormat="false" ht="15" hidden="false" customHeight="false" outlineLevel="0" collapsed="false">
      <c r="A7" s="15" t="s">
        <v>127</v>
      </c>
      <c r="B7" s="15" t="s">
        <v>73</v>
      </c>
      <c r="C7" s="15"/>
      <c r="D7" s="15"/>
      <c r="E7" s="15"/>
      <c r="F7" s="15"/>
    </row>
    <row r="8" customFormat="false" ht="15" hidden="false" customHeight="false" outlineLevel="0" collapsed="false">
      <c r="A8" s="15" t="s">
        <v>128</v>
      </c>
      <c r="B8" s="15" t="s">
        <v>129</v>
      </c>
      <c r="C8" s="15"/>
      <c r="D8" s="15"/>
      <c r="E8" s="15"/>
      <c r="F8" s="15"/>
    </row>
    <row r="9" customFormat="false" ht="15" hidden="false" customHeight="false" outlineLevel="0" collapsed="false">
      <c r="A9" s="15" t="s">
        <v>130</v>
      </c>
      <c r="B9" s="15" t="s">
        <v>131</v>
      </c>
      <c r="C9" s="15"/>
      <c r="D9" s="15"/>
      <c r="E9" s="15"/>
      <c r="F9" s="15"/>
    </row>
    <row r="11" customFormat="false" ht="15" hidden="false" customHeight="false" outlineLevel="0" collapsed="false">
      <c r="A11" s="14" t="s">
        <v>132</v>
      </c>
      <c r="B11" s="14"/>
      <c r="C11" s="14"/>
      <c r="D11" s="14"/>
      <c r="E11" s="14"/>
      <c r="F11" s="14"/>
    </row>
    <row r="12" customFormat="false" ht="15" hidden="false" customHeight="false" outlineLevel="0" collapsed="false">
      <c r="A12" s="15" t="s">
        <v>133</v>
      </c>
      <c r="B12" s="21" t="n">
        <f aca="false">'Valuation Analysis'!B6</f>
        <v>583.4</v>
      </c>
    </row>
    <row r="13" customFormat="false" ht="15" hidden="false" customHeight="false" outlineLevel="0" collapsed="false">
      <c r="A13" s="15" t="s">
        <v>134</v>
      </c>
      <c r="B13" s="26" t="n">
        <f aca="false">-B5</f>
        <v>-500</v>
      </c>
    </row>
    <row r="14" customFormat="false" ht="15" hidden="false" customHeight="false" outlineLevel="0" collapsed="false">
      <c r="A14" s="12" t="s">
        <v>135</v>
      </c>
      <c r="B14" s="26" t="n">
        <f aca="false">B12+B13</f>
        <v>83.4</v>
      </c>
    </row>
    <row r="15" customFormat="false" ht="15" hidden="false" customHeight="false" outlineLevel="0" collapsed="false">
      <c r="A15" s="15" t="s">
        <v>136</v>
      </c>
      <c r="B15" s="30" t="n">
        <v>0.2</v>
      </c>
    </row>
    <row r="17" customFormat="false" ht="15" hidden="false" customHeight="true" outlineLevel="0" collapsed="false">
      <c r="A17" s="8" t="s">
        <v>137</v>
      </c>
      <c r="B17" s="8"/>
      <c r="C17" s="8"/>
      <c r="D17" s="8"/>
      <c r="E17" s="8"/>
      <c r="F17" s="8"/>
    </row>
    <row r="18" customFormat="false" ht="15" hidden="false" customHeight="false" outlineLevel="0" collapsed="false">
      <c r="A18" s="8"/>
      <c r="B18" s="8"/>
      <c r="C18" s="8"/>
      <c r="D18" s="8"/>
      <c r="E18" s="8"/>
      <c r="F18" s="8"/>
    </row>
    <row r="19" customFormat="false" ht="15" hidden="false" customHeight="false" outlineLevel="0" collapsed="false">
      <c r="A19" s="8"/>
      <c r="B19" s="8"/>
      <c r="C19" s="8"/>
      <c r="D19" s="8"/>
      <c r="E19" s="8"/>
      <c r="F19" s="8"/>
    </row>
    <row r="20" customFormat="false" ht="15" hidden="false" customHeight="false" outlineLevel="0" collapsed="false">
      <c r="A20" s="8"/>
      <c r="B20" s="8"/>
      <c r="C20" s="8"/>
      <c r="D20" s="8"/>
      <c r="E20" s="8"/>
      <c r="F20" s="8"/>
    </row>
    <row r="21" customFormat="false" ht="15" hidden="false" customHeight="false" outlineLevel="0" collapsed="false">
      <c r="A21" s="8"/>
      <c r="B21" s="8"/>
      <c r="C21" s="8"/>
      <c r="D21" s="8"/>
      <c r="E21" s="8"/>
      <c r="F21" s="8"/>
    </row>
    <row r="22" customFormat="false" ht="15" hidden="false" customHeight="false" outlineLevel="0" collapsed="false">
      <c r="A22" s="8"/>
      <c r="B22" s="8"/>
      <c r="C22" s="8"/>
      <c r="D22" s="8"/>
      <c r="E22" s="8"/>
      <c r="F22" s="8"/>
    </row>
    <row r="23" customFormat="false" ht="15" hidden="false" customHeight="false" outlineLevel="0" collapsed="false">
      <c r="A23" s="8"/>
      <c r="B23" s="8"/>
      <c r="C23" s="8"/>
      <c r="D23" s="8"/>
      <c r="E23" s="8"/>
      <c r="F23" s="8"/>
    </row>
  </sheetData>
  <mergeCells count="10">
    <mergeCell ref="A1:F1"/>
    <mergeCell ref="A3:F3"/>
    <mergeCell ref="B4:F4"/>
    <mergeCell ref="B5:F5"/>
    <mergeCell ref="B6:F6"/>
    <mergeCell ref="B7:F7"/>
    <mergeCell ref="B8:F8"/>
    <mergeCell ref="B9:F9"/>
    <mergeCell ref="A11:F11"/>
    <mergeCell ref="A17: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2026-08-12T03:26:37Z</dcterms:created>
  <dc:creator>openpyxl</dc:creator>
  <dc:description/>
  <dc:language>en-US</dc:language>
  <cp:lastModifiedBy/>
  <dcterms:modified xsi:type="dcterms:W3CDTF">2026-08-12T03:26:37Z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